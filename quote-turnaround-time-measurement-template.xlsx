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6e743c2bafc40e4" /></Relationships>
</file>

<file path=xl/workbook.xml><?xml version="1.0" encoding="utf-8"?>
<x:workbook xmlns:x="http://schemas.openxmlformats.org/spreadsheetml/2006/main">
  <x:sheets>
    <x:sheet xmlns:r="http://schemas.openxmlformats.org/officeDocument/2006/relationships" name="Measurement log" sheetId="1" r:id="R91f98e1e60a94303"/>
    <x:sheet xmlns:r="http://schemas.openxmlformats.org/officeDocument/2006/relationships" name="Calculator inputs" sheetId="2" r:id="R16e7036e0c6f4705"/>
    <x:sheet xmlns:r="http://schemas.openxmlformats.org/officeDocument/2006/relationships" name="Definitions" sheetId="3" r:id="R04d7b09a9e164bca"/>
    <x:sheet xmlns:r="http://schemas.openxmlformats.org/officeDocument/2006/relationships" name="Worked example" sheetId="4" r:id="Ra8b9a4154a4d44f5"/>
  </x:sheets>
</x:workbook>
</file>

<file path=xl/comments1.xml><?xml version="1.0" encoding="utf-8"?>
<x:comments xmlns:x="http://schemas.openxmlformats.org/spreadsheetml/2006/main">
  <x:authors>
    <x:author>tc={4E8939E5-9B3D-CFFB-6CE4-46E6020874F9}</x:author>
    <x:author>tc={94F597A1-77D2-BAA3-B9D2-3CC405860262}</x:author>
  </x:authors>
  <x:commentList>
    <x:comment ref="C5" authorId="0">
      <x:text>
        <x:r>
          <x:t>[Threaded comment]
Your version of Excel allows you to read this threaded comment; however, any edits to it will get removed if the file is opened in a newer version of Excel. Learn more: https://go.microsoft.com/fwlink/?linkid=870924
Comment:
    Time unit guidance:
• Minutes means elapsed minutes.
• Hours means elapsed hours.
• Business days uses eight hours per business day.
• Use one time unit for every duration in the same row.</x:t>
        </x:r>
      </x:text>
    </x:comment>
    <x:comment ref="E5" authorId="1">
      <x:text>
        <x:r>
          <x:t>[Threaded comment]
Your version of Excel allows you to read this threaded comment; however, any edits to it will get removed if the file is opened in a newer version of Excel. Learn more: https://go.microsoft.com/fwlink/?linkid=870924
Comment:
    All fifteen duration inputs in a row must use the time unit selected in column C.</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yyyy-mm-dd hh:mm"/>
    <x:numFmt numFmtId="201" formatCode="0"/>
    <x:numFmt numFmtId="202" formatCode="0.00"/>
    <x:numFmt numFmtId="203" formatCode="yyyy-mm-dd"/>
    <x:numFmt numFmtId="204" formatCode="0.00 &quot;hours&quot;"/>
    <x:numFmt numFmtId="205" formatCode="0.00%"/>
    <x:numFmt numFmtId="206" formatCode="0.0%"/>
  </x:numFmts>
  <x:fonts count="18">
    <x:font>
      <x:sz val="11"/>
      <x:name val="Carlito"/>
    </x:font>
    <x:font>
      <x:b/>
      <x:sz val="18"/>
      <x:color rgb="FFFFFFFF"/>
      <x:name val="Aptos"/>
    </x:font>
    <x:font>
      <x:b/>
      <x:sz val="11"/>
      <x:color rgb="FF0F172A"/>
      <x:name val="Aptos"/>
    </x:font>
    <x:font>
      <x:i/>
      <x:sz val="10"/>
      <x:color rgb="FF475569"/>
      <x:name val="Aptos"/>
    </x:font>
    <x:font>
      <x:b/>
      <x:sz val="10"/>
      <x:color rgb="FFFFFFFF"/>
      <x:name val="Aptos"/>
    </x:font>
    <x:font>
      <x:sz val="10"/>
      <x:color rgb="FF0F172A"/>
      <x:name val="Aptos"/>
    </x:font>
    <x:font>
      <x:b/>
      <x:sz val="12"/>
      <x:color rgb="FFFFFFFF"/>
      <x:name val="Aptos"/>
    </x:font>
    <x:font>
      <x:b/>
      <x:sz val="10"/>
      <x:color rgb="FF0F172A"/>
      <x:name val="Aptos"/>
    </x:font>
    <x:font>
      <x:b/>
      <x:sz val="10"/>
      <x:color rgb="FF5B21B6"/>
      <x:name val="Aptos"/>
    </x:font>
    <x:font>
      <x:b/>
      <x:sz val="11"/>
      <x:color rgb="FF5B21B6"/>
      <x:name val="Aptos"/>
    </x:font>
    <x:font>
      <x:sz val="11"/>
      <x:name val="Aptos"/>
    </x:font>
    <x:font>
      <x:b/>
      <x:sz val="11"/>
      <x:color rgb="FFFFFFFF"/>
      <x:name val="Carlito"/>
    </x:font>
    <x:font>
      <x:b/>
      <x:sz val="11"/>
      <x:color rgb="FF0F172A"/>
      <x:name val="Carlito"/>
    </x:font>
    <x:font>
      <x:i/>
      <x:sz val="11"/>
      <x:color rgb="FF475569"/>
      <x:name val="Carlito"/>
    </x:font>
    <x:font>
      <x:sz val="11"/>
      <x:color rgb="FF0F172A"/>
      <x:name val="Carlito"/>
    </x:font>
    <x:font>
      <x:b/>
      <x:sz val="11"/>
      <x:color rgb="FF5B21B6"/>
      <x:name val="Carlito"/>
    </x:font>
    <x:font>
      <x:sz val="11"/>
      <x:color rgb="FF5B21B6"/>
      <x:name val="Carlito"/>
    </x:font>
    <x:font>
      <x:sz val="11"/>
      <x:color rgb="FF475569"/>
      <x:name val="Carlito"/>
    </x:font>
  </x:fonts>
  <x:fills count="22">
    <x:fill>
      <x:patternFill patternType="none"/>
    </x:fill>
    <x:fill>
      <x:patternFill patternType="gray125"/>
    </x:fill>
    <x:fill>
      <x:patternFill patternType="solid">
        <x:fgColor rgb="FF0B0F1F"/>
      </x:patternFill>
    </x:fill>
    <x:fill>
      <x:patternFill patternType="solid">
        <x:fgColor rgb="FFF8FAFC"/>
      </x:patternFill>
    </x:fill>
    <x:fill>
      <x:patternFill patternType="solid">
        <x:fgColor rgb="FFFFFFFF"/>
      </x:patternFill>
    </x:fill>
    <x:fill>
      <x:patternFill patternType="solid">
        <x:fgColor rgb="FF1B2440"/>
      </x:patternFill>
    </x:fill>
    <x:fill>
      <x:patternFill patternType="solid">
        <x:fgColor rgb="FFF3E8FF"/>
      </x:patternFill>
    </x:fill>
    <x:fill>
      <x:patternFill patternType="solid">
        <x:fgColor rgb="FF5B21B6"/>
      </x:patternFill>
    </x:fill>
    <x:fill>
      <x:patternFill patternType="solid">
        <x:fgColor rgb="FFECFEFF"/>
      </x:patternFill>
    </x:fill>
    <x:fill>
      <x:patternFill patternType="solid">
        <x:fgColor rgb="FF0B0F1F"/>
      </x:patternFill>
    </x:fill>
    <x:fill>
      <x:patternFill patternType="solid">
        <x:fgColor rgb="FFF8FAFC"/>
      </x:patternFill>
    </x:fill>
    <x:fill>
      <x:patternFill patternType="solid">
        <x:fgColor rgb="FFFFFFFF"/>
      </x:patternFill>
    </x:fill>
    <x:fill>
      <x:patternFill patternType="solid">
        <x:fgColor rgb="FF1B2440"/>
      </x:patternFill>
    </x:fill>
    <x:fill>
      <x:patternFill patternType="solid">
        <x:fgColor rgb="FFF3E8FF"/>
      </x:patternFill>
    </x:fill>
    <x:fill>
      <x:patternFill patternType="solid">
        <x:fgColor rgb="FF5B21B6"/>
      </x:patternFill>
    </x:fill>
    <x:fill>
      <x:patternFill patternType="solid">
        <x:fgColor rgb="FFECFEFF"/>
      </x:patternFill>
    </x:fill>
    <x:fill>
      <x:patternFill patternType="solid">
        <x:fgColor rgb="FFFFFFFF"/>
      </x:patternFill>
    </x:fill>
    <x:fill>
      <x:patternFill patternType="solid">
        <x:fgColor rgb="FF1B2440"/>
      </x:patternFill>
    </x:fill>
    <x:fill>
      <x:patternFill patternType="solid">
        <x:fgColor rgb="FFF8FAFC"/>
      </x:patternFill>
    </x:fill>
    <x:fill>
      <x:patternFill patternType="solid">
        <x:fgColor rgb="FF1B2440"/>
      </x:patternFill>
    </x:fill>
    <x:fill>
      <x:patternFill patternType="solid">
        <x:fgColor rgb="FFFFFFFF"/>
      </x:patternFill>
    </x:fill>
    <x:fill>
      <x:patternFill patternType="solid">
        <x:fgColor rgb="FFF3E8FF"/>
      </x:patternFill>
    </x:fill>
  </x:fills>
  <x:borders count="20">
    <x:border/>
    <x:border/>
    <x:border>
      <x:left style="thin">
        <x:color rgb="FFCBD5E1"/>
      </x:left>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
      <x:left style="thin">
        <x:color rgb="FF06B6D4"/>
      </x:left>
      <x:right style="thin">
        <x:color rgb="FF06B6D4"/>
      </x:right>
      <x:top style="thin">
        <x:color rgb="FF06B6D4"/>
      </x:top>
      <x:bottom style="thin">
        <x:color rgb="FF06B6D4"/>
      </x:bottom>
    </x:border>
    <x:border>
      <x:left style="thin">
        <x:color rgb="FF06B6D4"/>
      </x:left>
      <x:right style="thin">
        <x:color rgb="FF06B6D4"/>
      </x:right>
      <x:top style="thin">
        <x:color rgb="FF06B6D4"/>
      </x:top>
      <x:bottom style="thin">
        <x:color rgb="FF06B6D4"/>
      </x:bottom>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right style="thin">
        <x:color rgb="FFCBD5E1"/>
      </x:right>
      <x:top style="thin">
        <x:color rgb="FFCBD5E1"/>
      </x:top>
    </x:border>
    <x:border>
      <x:left style="thin">
        <x:color rgb="FFCBD5E1"/>
      </x:left>
      <x:right style="thin">
        <x:color rgb="FFCBD5E1"/>
      </x:right>
      <x:bottom style="thin">
        <x:color rgb="FFCBD5E1"/>
      </x:bottom>
    </x:border>
    <x:border>
      <x:left style="thin">
        <x:color rgb="FFCBD5E1"/>
      </x:left>
      <x:right style="thin">
        <x:color rgb="FFCBD5E1"/>
      </x:right>
    </x:border>
  </x:borders>
  <x:cellStyleXfs count="1">
    <x:xf numFmtId="0" fontId="0" fillId="0" borderId="0"/>
  </x:cellStyleXfs>
  <x:cellXfs count="52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left" wrapText="1"/>
    </x:xf>
    <x:xf numFmtId="0" fontId="3" fillId="4" borderId="0" xfId="0" applyNumberFormat="1" applyFont="1" applyFill="1" applyBorder="1" applyAlignment="1">
      <x:alignment horizontal="lef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left" wrapText="1"/>
    </x:xf>
    <x:xf numFmtId="0" fontId="3" fillId="4" borderId="1" xfId="0" applyNumberFormat="1" applyFont="1" applyFill="1" applyBorder="1" applyAlignment="1">
      <x:alignment horizontal="left" vertical="center" wrapText="1"/>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2" xfId="0" applyNumberFormat="1" applyFont="1" applyFill="1" applyBorder="1" applyAlignment="1">
      <x:alignment wrapText="1"/>
    </x:xf>
    <x:xf numFmtId="0" fontId="4" fillId="5" borderId="2" xfId="0" applyNumberFormat="1" applyFont="1" applyFill="1" applyBorder="1" applyAlignment="1">
      <x:alignment horizontal="center" wrapText="1"/>
    </x:xf>
    <x:xf numFmtId="0" fontId="4" fillId="5" borderId="2"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3" xfId="0" applyNumberFormat="1" applyFont="1" applyFill="1" applyBorder="1"/>
    <x:xf numFmtId="0" fontId="4" fillId="5" borderId="3" xfId="0" applyNumberFormat="1" applyFont="1" applyFill="1" applyBorder="1" applyAlignment="1">
      <x:alignment wrapText="1"/>
    </x:xf>
    <x:xf numFmtId="0" fontId="4" fillId="5" borderId="3" xfId="0" applyNumberFormat="1" applyFont="1" applyFill="1" applyBorder="1" applyAlignment="1">
      <x:alignment horizontal="center" wrapText="1"/>
    </x:xf>
    <x:xf numFmtId="0" fontId="4" fillId="5" borderId="3" xfId="0" applyNumberFormat="1" applyFont="1" applyFill="1" applyBorder="1" applyAlignment="1">
      <x:alignment horizontal="center" vertical="center" wrapText="1"/>
    </x:xf>
    <x:xf numFmtId="0" fontId="5" fillId="4" borderId="0" xfId="0" applyNumberFormat="1" applyFont="1" applyFill="1" applyBorder="1"/>
    <x:xf numFmtId="0" fontId="5" fillId="4" borderId="2" xfId="0" applyNumberFormat="1" applyFont="1" applyFill="1" applyBorder="1"/>
    <x:xf numFmtId="0" fontId="5" fillId="4" borderId="2" xfId="0" applyNumberFormat="1" applyFont="1" applyFill="1" applyBorder="1" applyAlignment="1">
      <x:alignment wrapText="0"/>
    </x:xf>
    <x:xf numFmtId="0" fontId="5" fillId="4" borderId="2" xfId="0" applyNumberFormat="1" applyFont="1" applyFill="1" applyBorder="1" applyAlignment="1">
      <x:alignment vertical="center" wrapText="0"/>
    </x:xf>
    <x:xf numFmtId="0" fontId="5" fillId="4" borderId="1" xfId="0" applyNumberFormat="1" applyFont="1" applyFill="1" applyBorder="1"/>
    <x:xf numFmtId="0" fontId="5" fillId="4" borderId="3" xfId="0" applyNumberFormat="1" applyFont="1" applyFill="1" applyBorder="1"/>
    <x:xf numFmtId="0" fontId="5" fillId="4" borderId="3" xfId="0" applyNumberFormat="1" applyFont="1" applyFill="1" applyBorder="1" applyAlignment="1">
      <x:alignment wrapText="0"/>
    </x:xf>
    <x:xf numFmtId="0" fontId="5" fillId="4" borderId="3" xfId="0" applyNumberFormat="1" applyFont="1" applyFill="1" applyBorder="1" applyAlignment="1">
      <x:alignment vertical="center" wrapText="0"/>
    </x:xf>
    <x:xf numFmtId="0" fontId="0" fillId="6" borderId="0" xfId="0" applyNumberFormat="1" applyFont="1" applyFill="1" applyBorder="1"/>
    <x:xf numFmtId="0" fontId="5" fillId="6" borderId="0" xfId="0" applyNumberFormat="1" applyFont="1" applyFill="1" applyBorder="1"/>
    <x:xf numFmtId="0" fontId="5" fillId="6" borderId="2" xfId="0" applyNumberFormat="1" applyFont="1" applyFill="1" applyBorder="1"/>
    <x:xf numFmtId="0" fontId="5" fillId="6" borderId="2" xfId="0" applyNumberFormat="1" applyFont="1" applyFill="1" applyBorder="1" applyAlignment="1">
      <x:alignment wrapText="0"/>
    </x:xf>
    <x:xf numFmtId="0" fontId="5" fillId="6" borderId="2" xfId="0" applyNumberFormat="1" applyFont="1" applyFill="1" applyBorder="1" applyAlignment="1">
      <x:alignment vertical="center" wrapText="0"/>
    </x:xf>
    <x:xf numFmtId="0" fontId="0" fillId="6" borderId="1" xfId="0" applyNumberFormat="1" applyFont="1" applyFill="1" applyBorder="1"/>
    <x:xf numFmtId="0" fontId="5" fillId="6" borderId="1" xfId="0" applyNumberFormat="1" applyFont="1" applyFill="1" applyBorder="1"/>
    <x:xf numFmtId="0" fontId="5" fillId="6" borderId="3" xfId="0" applyNumberFormat="1" applyFont="1" applyFill="1" applyBorder="1"/>
    <x:xf numFmtId="0" fontId="5" fillId="6" borderId="3" xfId="0" applyNumberFormat="1" applyFont="1" applyFill="1" applyBorder="1" applyAlignment="1">
      <x:alignment wrapText="0"/>
    </x:xf>
    <x:xf numFmtId="0" fontId="5" fillId="6" borderId="3" xfId="0" applyNumberFormat="1" applyFont="1" applyFill="1" applyBorder="1" applyAlignment="1">
      <x:alignment vertical="center" wrapText="0"/>
    </x:xf>
    <x:xf numFmtId="0" fontId="5" fillId="4" borderId="2"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2" xfId="0" applyNumberFormat="1" applyFont="1" applyFill="1" applyBorder="1" applyAlignment="1">
      <x:alignment horizontal="left" vertical="center" wrapText="0"/>
    </x:xf>
    <x:xf numFmtId="0" fontId="5" fillId="4" borderId="3" xfId="0" applyNumberFormat="1" applyFont="1" applyFill="1" applyBorder="1" applyAlignment="1">
      <x:alignment horizontal="left" vertical="center" wrapText="0"/>
    </x:xf>
    <x:xf numFmtId="0" fontId="5" fillId="4" borderId="2" xfId="0" applyNumberFormat="1" applyFont="1" applyFill="1" applyBorder="1" applyAlignment="1">
      <x:alignment horizontal="center" vertical="center" wrapText="0"/>
    </x:xf>
    <x:xf numFmtId="0" fontId="5" fillId="4" borderId="3" xfId="0" applyNumberFormat="1" applyFont="1" applyFill="1" applyBorder="1" applyAlignment="1">
      <x:alignment horizontal="center" vertical="center" wrapText="0"/>
    </x:xf>
    <x:xf numFmtId="0" fontId="5" fillId="4" borderId="2" xfId="0" applyNumberFormat="1" applyFont="1" applyFill="1" applyBorder="1" applyAlignment="1">
      <x:alignment horizontal="left" vertical="center" wrapText="1"/>
    </x:xf>
    <x:xf numFmtId="0" fontId="5" fillId="4" borderId="3" xfId="0" applyNumberFormat="1" applyFont="1" applyFill="1" applyBorder="1" applyAlignment="1">
      <x:alignment horizontal="left" vertical="center" wrapText="1"/>
    </x:xf>
    <x:xf numFmtId="0" fontId="5" fillId="6" borderId="2" xfId="0" applyNumberFormat="1" applyFont="1" applyFill="1" applyBorder="1" applyAlignment="1">
      <x:alignment horizontal="right" vertical="center" wrapText="0"/>
    </x:xf>
    <x:xf numFmtId="0" fontId="5" fillId="6" borderId="3" xfId="0" applyNumberFormat="1" applyFont="1" applyFill="1" applyBorder="1" applyAlignment="1">
      <x:alignment horizontal="right" vertical="center" wrapText="0"/>
    </x:xf>
    <x:xf numFmtId="200" fontId="5" fillId="4" borderId="2" xfId="0" applyNumberFormat="1" applyFont="1" applyFill="1" applyBorder="1" applyAlignment="1">
      <x:alignment horizontal="center" vertical="center" wrapText="0"/>
    </x:xf>
    <x:xf numFmtId="200" fontId="5" fillId="4" borderId="3" xfId="0" applyNumberFormat="1" applyFont="1" applyFill="1" applyBorder="1" applyAlignment="1">
      <x:alignment horizontal="center" vertical="center" wrapText="0"/>
    </x:xf>
    <x:xf numFmtId="201" fontId="5" fillId="4" borderId="2" xfId="0" applyNumberFormat="1" applyFont="1" applyFill="1" applyBorder="1" applyAlignment="1">
      <x:alignment horizontal="center" vertical="center" wrapText="0"/>
    </x:xf>
    <x:xf numFmtId="201" fontId="5" fillId="4" borderId="3" xfId="0" applyNumberFormat="1" applyFont="1" applyFill="1" applyBorder="1" applyAlignment="1">
      <x:alignment horizontal="center" vertical="center" wrapText="0"/>
    </x:xf>
    <x:xf numFmtId="202" fontId="5" fillId="4" borderId="2" xfId="0" applyNumberFormat="1" applyFont="1" applyFill="1" applyBorder="1" applyAlignment="1">
      <x:alignment horizontal="center" vertical="center" wrapText="0"/>
    </x:xf>
    <x:xf numFmtId="202" fontId="5" fillId="4" borderId="3" xfId="0" applyNumberFormat="1" applyFont="1" applyFill="1" applyBorder="1" applyAlignment="1">
      <x:alignment horizontal="center" vertical="center" wrapText="0"/>
    </x:xf>
    <x:xf numFmtId="202" fontId="5" fillId="6" borderId="2" xfId="0" applyNumberFormat="1" applyFont="1" applyFill="1" applyBorder="1" applyAlignment="1">
      <x:alignment horizontal="right" vertical="center" wrapText="0"/>
    </x:xf>
    <x:xf numFmtId="202" fontId="5" fillId="6" borderId="3" xfId="0" applyNumberFormat="1" applyFont="1" applyFill="1" applyBorder="1" applyAlignment="1">
      <x:alignment horizontal="right" vertical="center" wrapText="0"/>
    </x:xf>
    <x:xf numFmtId="0" fontId="5" fillId="4" borderId="2" xfId="0" applyNumberFormat="1" applyFont="1" applyFill="1" applyBorder="1" applyAlignment="1">
      <x:alignment horizontal="right" vertical="center" wrapText="0"/>
    </x:xf>
    <x:xf numFmtId="0" fontId="5" fillId="4" borderId="3" xfId="0" applyNumberFormat="1" applyFont="1" applyFill="1" applyBorder="1" applyAlignment="1">
      <x:alignment horizontal="right" vertical="center" wrapText="0"/>
    </x:xf>
    <x:xf numFmtId="0" fontId="5" fillId="6" borderId="2" xfId="0" applyNumberFormat="1" applyFont="1" applyFill="1" applyBorder="1" applyAlignment="1">
      <x:alignment horizontal="left" vertical="center" wrapText="0"/>
    </x:xf>
    <x:xf numFmtId="0" fontId="5" fillId="6" borderId="3" xfId="0" applyNumberFormat="1" applyFont="1" applyFill="1" applyBorder="1" applyAlignment="1">
      <x:alignment horizontal="left" vertical="center" wrapText="0"/>
    </x:xf>
    <x:xf numFmtId="203" fontId="5" fillId="4" borderId="2" xfId="0" applyNumberFormat="1" applyFont="1" applyFill="1" applyBorder="1" applyAlignment="1">
      <x:alignment horizontal="left" vertical="center" wrapText="0"/>
    </x:xf>
    <x:xf numFmtId="203" fontId="5" fillId="4" borderId="3" xfId="0" applyNumberFormat="1" applyFont="1" applyFill="1" applyBorder="1" applyAlignment="1">
      <x:alignment horizontal="left" vertical="center" wrapText="0"/>
    </x:xf>
    <x:xf numFmtId="202" fontId="5" fillId="4" borderId="2" xfId="0" applyNumberFormat="1" applyFont="1" applyFill="1" applyBorder="1" applyAlignment="1">
      <x:alignment horizontal="right" vertical="center" wrapText="0"/>
    </x:xf>
    <x:xf numFmtId="202" fontId="5" fillId="4" borderId="3" xfId="0" applyNumberFormat="1" applyFont="1" applyFill="1" applyBorder="1" applyAlignment="1">
      <x:alignment horizontal="right" vertical="center" wrapText="0"/>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vertical="center"/>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vertical="center"/>
    </x:xf>
    <x:xf numFmtId="0" fontId="5" fillId="4" borderId="2" xfId="0" applyNumberFormat="1" applyFont="1" applyFill="1" applyBorder="1" applyAlignment="1">
      <x:alignment wrapText="1"/>
    </x:xf>
    <x:xf numFmtId="0" fontId="5" fillId="4" borderId="3" xfId="0" applyNumberFormat="1" applyFont="1" applyFill="1" applyBorder="1" applyAlignment="1">
      <x:alignment wrapText="1"/>
    </x:xf>
    <x:xf numFmtId="0" fontId="7" fillId="4" borderId="2" xfId="0" applyNumberFormat="1" applyFont="1" applyFill="1" applyBorder="1" applyAlignment="1">
      <x:alignment vertical="center" wrapText="1"/>
    </x:xf>
    <x:xf numFmtId="0" fontId="7" fillId="4" borderId="3" xfId="0" applyNumberFormat="1" applyFont="1" applyFill="1" applyBorder="1" applyAlignment="1">
      <x:alignment vertical="center" wrapText="1"/>
    </x:xf>
    <x:xf numFmtId="0" fontId="8" fillId="6" borderId="0" xfId="0" applyNumberFormat="1" applyFont="1" applyFill="1" applyBorder="1"/>
    <x:xf numFmtId="0" fontId="8" fillId="6" borderId="2" xfId="0" applyNumberFormat="1" applyFont="1" applyFill="1" applyBorder="1"/>
    <x:xf numFmtId="0" fontId="8" fillId="6" borderId="2" xfId="0" applyNumberFormat="1" applyFont="1" applyFill="1" applyBorder="1" applyAlignment="1">
      <x:alignment vertical="center"/>
    </x:xf>
    <x:xf numFmtId="0" fontId="8" fillId="6" borderId="1" xfId="0" applyNumberFormat="1" applyFont="1" applyFill="1" applyBorder="1"/>
    <x:xf numFmtId="0" fontId="8" fillId="6" borderId="3" xfId="0" applyNumberFormat="1" applyFont="1" applyFill="1" applyBorder="1"/>
    <x:xf numFmtId="0" fontId="8" fillId="6" borderId="3" xfId="0" applyNumberFormat="1" applyFont="1" applyFill="1" applyBorder="1" applyAlignment="1">
      <x:alignment vertical="center"/>
    </x:xf>
    <x:xf numFmtId="0" fontId="5" fillId="4" borderId="2" xfId="0" applyNumberFormat="1" applyFont="1" applyFill="1" applyBorder="1" applyAlignment="1">
      <x:alignment vertical="top" wrapText="1"/>
    </x:xf>
    <x:xf numFmtId="0" fontId="5" fillId="4" borderId="3" xfId="0" applyNumberFormat="1" applyFont="1" applyFill="1" applyBorder="1" applyAlignment="1">
      <x:alignment vertical="top" wrapText="1"/>
    </x:xf>
    <x:xf numFmtId="0" fontId="9" fillId="3" borderId="0" xfId="0" applyNumberFormat="1" applyFont="1" applyFill="1" applyBorder="1"/>
    <x:xf numFmtId="0" fontId="9" fillId="3" borderId="4" xfId="0" applyNumberFormat="1" applyFont="1" applyFill="1" applyBorder="1"/>
    <x:xf numFmtId="0" fontId="9" fillId="3" borderId="4" xfId="0" applyNumberFormat="1" applyFont="1" applyFill="1" applyBorder="1" applyAlignment="1">
      <x:alignment vertical="center"/>
    </x:xf>
    <x:xf numFmtId="0" fontId="9" fillId="3" borderId="1" xfId="0" applyNumberFormat="1" applyFont="1" applyFill="1" applyBorder="1"/>
    <x:xf numFmtId="0" fontId="9" fillId="3" borderId="5" xfId="0" applyNumberFormat="1" applyFont="1" applyFill="1" applyBorder="1"/>
    <x:xf numFmtId="0" fontId="9" fillId="3" borderId="5" xfId="0" applyNumberFormat="1" applyFont="1" applyFill="1" applyBorder="1" applyAlignment="1">
      <x:alignment vertical="center"/>
    </x:xf>
    <x:xf numFmtId="0" fontId="5" fillId="3" borderId="0" xfId="0" applyNumberFormat="1" applyFont="1" applyFill="1" applyBorder="1"/>
    <x:xf numFmtId="0" fontId="5" fillId="3" borderId="4" xfId="0" applyNumberFormat="1" applyFont="1" applyFill="1" applyBorder="1"/>
    <x:xf numFmtId="0" fontId="5" fillId="3" borderId="4" xfId="0" applyNumberFormat="1" applyFont="1" applyFill="1" applyBorder="1" applyAlignment="1">
      <x:alignment wrapText="1"/>
    </x:xf>
    <x:xf numFmtId="0" fontId="5" fillId="3" borderId="4" xfId="0" applyNumberFormat="1" applyFont="1" applyFill="1" applyBorder="1" applyAlignment="1">
      <x:alignment vertical="top" wrapText="1"/>
    </x:xf>
    <x:xf numFmtId="0" fontId="5" fillId="3" borderId="1" xfId="0" applyNumberFormat="1" applyFont="1" applyFill="1" applyBorder="1"/>
    <x:xf numFmtId="0" fontId="5" fillId="3" borderId="5" xfId="0" applyNumberFormat="1" applyFont="1" applyFill="1" applyBorder="1"/>
    <x:xf numFmtId="0" fontId="5" fillId="3" borderId="5" xfId="0" applyNumberFormat="1" applyFont="1" applyFill="1" applyBorder="1" applyAlignment="1">
      <x:alignment wrapText="1"/>
    </x:xf>
    <x:xf numFmtId="0" fontId="5" fillId="3" borderId="5" xfId="0" applyNumberFormat="1" applyFont="1" applyFill="1" applyBorder="1" applyAlignment="1">
      <x:alignment vertical="top" wrapText="1"/>
    </x:xf>
    <x:xf numFmtId="204" fontId="5" fillId="4" borderId="2" xfId="0" applyNumberFormat="1" applyFont="1" applyFill="1" applyBorder="1" applyAlignment="1">
      <x:alignment vertical="center" wrapText="1"/>
    </x:xf>
    <x:xf numFmtId="204" fontId="5" fillId="4" borderId="3" xfId="0" applyNumberFormat="1" applyFont="1" applyFill="1" applyBorder="1" applyAlignment="1">
      <x:alignment vertical="center" wrapText="1"/>
    </x:xf>
    <x:xf numFmtId="204" fontId="5" fillId="4" borderId="2" xfId="0" applyNumberFormat="1" applyFont="1" applyFill="1" applyBorder="1" applyAlignment="1">
      <x:alignment horizontal="right" vertical="center" wrapText="1"/>
    </x:xf>
    <x:xf numFmtId="204" fontId="5" fillId="4" borderId="3" xfId="0" applyNumberFormat="1" applyFont="1" applyFill="1" applyBorder="1" applyAlignment="1">
      <x:alignment horizontal="right" vertical="center" wrapText="1"/>
    </x:xf>
    <x:xf numFmtId="0" fontId="5" fillId="6" borderId="2" xfId="0" applyNumberFormat="1" applyFont="1" applyFill="1" applyBorder="1" applyAlignment="1">
      <x:alignment wrapText="1"/>
    </x:xf>
    <x:xf numFmtId="0" fontId="5" fillId="6" borderId="2" xfId="0" applyNumberFormat="1" applyFont="1" applyFill="1" applyBorder="1" applyAlignment="1">
      <x:alignment vertical="center" wrapText="1"/>
    </x:xf>
    <x:xf numFmtId="0" fontId="5" fillId="6" borderId="3" xfId="0" applyNumberFormat="1" applyFont="1" applyFill="1" applyBorder="1" applyAlignment="1">
      <x:alignment wrapText="1"/>
    </x:xf>
    <x:xf numFmtId="0" fontId="5" fillId="6" borderId="3" xfId="0" applyNumberFormat="1" applyFont="1" applyFill="1" applyBorder="1" applyAlignment="1">
      <x:alignment vertical="center" wrapText="1"/>
    </x:xf>
    <x:xf numFmtId="0" fontId="7" fillId="6" borderId="2" xfId="0" applyNumberFormat="1" applyFont="1" applyFill="1" applyBorder="1" applyAlignment="1">
      <x:alignment vertical="center" wrapText="1"/>
    </x:xf>
    <x:xf numFmtId="0" fontId="7" fillId="6" borderId="3" xfId="0" applyNumberFormat="1" applyFont="1" applyFill="1" applyBorder="1" applyAlignment="1">
      <x:alignment vertical="center" wrapText="1"/>
    </x:xf>
    <x:xf numFmtId="204" fontId="5" fillId="6" borderId="2" xfId="0" applyNumberFormat="1" applyFont="1" applyFill="1" applyBorder="1" applyAlignment="1">
      <x:alignment vertical="center" wrapText="1"/>
    </x:xf>
    <x:xf numFmtId="204" fontId="7" fillId="6" borderId="2" xfId="0" applyNumberFormat="1" applyFont="1" applyFill="1" applyBorder="1" applyAlignment="1">
      <x:alignment vertical="center" wrapText="1"/>
    </x:xf>
    <x:xf numFmtId="204" fontId="5" fillId="6" borderId="3" xfId="0" applyNumberFormat="1" applyFont="1" applyFill="1" applyBorder="1" applyAlignment="1">
      <x:alignment vertical="center" wrapText="1"/>
    </x:xf>
    <x:xf numFmtId="204" fontId="7" fillId="6" borderId="3" xfId="0" applyNumberFormat="1" applyFont="1" applyFill="1" applyBorder="1" applyAlignment="1">
      <x:alignment vertical="center" wrapText="1"/>
    </x:xf>
    <x:xf numFmtId="205" fontId="5" fillId="6" borderId="2" xfId="0" applyNumberFormat="1" applyFont="1" applyFill="1" applyBorder="1" applyAlignment="1">
      <x:alignment vertical="center" wrapText="1"/>
    </x:xf>
    <x:xf numFmtId="205" fontId="7" fillId="6" borderId="2" xfId="0" applyNumberFormat="1" applyFont="1" applyFill="1" applyBorder="1" applyAlignment="1">
      <x:alignment vertical="center" wrapText="1"/>
    </x:xf>
    <x:xf numFmtId="205" fontId="5" fillId="6" borderId="3" xfId="0" applyNumberFormat="1" applyFont="1" applyFill="1" applyBorder="1" applyAlignment="1">
      <x:alignment vertical="center" wrapText="1"/>
    </x:xf>
    <x:xf numFmtId="205" fontId="7" fillId="6" borderId="3" xfId="0" applyNumberFormat="1" applyFont="1" applyFill="1" applyBorder="1" applyAlignment="1">
      <x:alignment vertical="center" wrapText="1"/>
    </x:xf>
    <x:xf numFmtId="204" fontId="5" fillId="6" borderId="2" xfId="0" applyNumberFormat="1" applyFont="1" applyFill="1" applyBorder="1" applyAlignment="1">
      <x:alignment horizontal="right" vertical="center" wrapText="1"/>
    </x:xf>
    <x:xf numFmtId="205" fontId="5" fillId="6" borderId="2" xfId="0" applyNumberFormat="1" applyFont="1" applyFill="1" applyBorder="1" applyAlignment="1">
      <x:alignment horizontal="right" vertical="center" wrapText="1"/>
    </x:xf>
    <x:xf numFmtId="204" fontId="7" fillId="6" borderId="2" xfId="0" applyNumberFormat="1" applyFont="1" applyFill="1" applyBorder="1" applyAlignment="1">
      <x:alignment horizontal="right" vertical="center" wrapText="1"/>
    </x:xf>
    <x:xf numFmtId="205" fontId="7" fillId="6" borderId="2" xfId="0" applyNumberFormat="1" applyFont="1" applyFill="1" applyBorder="1" applyAlignment="1">
      <x:alignment horizontal="right" vertical="center" wrapText="1"/>
    </x:xf>
    <x:xf numFmtId="204" fontId="5" fillId="6" borderId="3" xfId="0" applyNumberFormat="1" applyFont="1" applyFill="1" applyBorder="1" applyAlignment="1">
      <x:alignment horizontal="right" vertical="center" wrapText="1"/>
    </x:xf>
    <x:xf numFmtId="205" fontId="5" fillId="6" borderId="3" xfId="0" applyNumberFormat="1" applyFont="1" applyFill="1" applyBorder="1" applyAlignment="1">
      <x:alignment horizontal="right" vertical="center" wrapText="1"/>
    </x:xf>
    <x:xf numFmtId="204" fontId="7" fillId="6" borderId="3" xfId="0" applyNumberFormat="1" applyFont="1" applyFill="1" applyBorder="1" applyAlignment="1">
      <x:alignment horizontal="right" vertical="center" wrapText="1"/>
    </x:xf>
    <x:xf numFmtId="205" fontId="7" fillId="6" borderId="3" xfId="0" applyNumberFormat="1" applyFont="1" applyFill="1" applyBorder="1" applyAlignment="1">
      <x:alignment horizontal="right" vertical="center" wrapText="1"/>
    </x:xf>
    <x:xf numFmtId="0" fontId="6" fillId="5" borderId="0" xfId="0" applyNumberFormat="1" applyFont="1" applyFill="1" applyBorder="1"/>
    <x:xf numFmtId="0" fontId="6" fillId="5" borderId="0" xfId="0" applyNumberFormat="1" applyFont="1" applyFill="1" applyBorder="1" applyAlignment="1">
      <x:alignment vertical="center"/>
    </x:xf>
    <x:xf numFmtId="0" fontId="6" fillId="5" borderId="1" xfId="0" applyNumberFormat="1" applyFont="1" applyFill="1" applyBorder="1"/>
    <x:xf numFmtId="0" fontId="6" fillId="5" borderId="1" xfId="0" applyNumberFormat="1" applyFont="1" applyFill="1" applyBorder="1" applyAlignment="1">
      <x:alignment vertical="center"/>
    </x:xf>
    <x:xf numFmtId="0" fontId="0" fillId="8" borderId="0" xfId="0" applyNumberFormat="1" applyFont="1" applyFill="1" applyBorder="1"/>
    <x:xf numFmtId="0" fontId="5" fillId="8" borderId="0" xfId="0" applyNumberFormat="1" applyFont="1" applyFill="1" applyBorder="1"/>
    <x:xf numFmtId="0" fontId="5" fillId="8" borderId="2" xfId="0" applyNumberFormat="1" applyFont="1" applyFill="1" applyBorder="1"/>
    <x:xf numFmtId="0" fontId="5" fillId="8" borderId="2" xfId="0" applyNumberFormat="1" applyFont="1" applyFill="1" applyBorder="1" applyAlignment="1">
      <x:alignment wrapText="1"/>
    </x:xf>
    <x:xf numFmtId="0" fontId="5" fillId="8" borderId="2" xfId="0" applyNumberFormat="1" applyFont="1" applyFill="1" applyBorder="1" applyAlignment="1">
      <x:alignment vertical="center" wrapText="1"/>
    </x:xf>
    <x:xf numFmtId="0" fontId="0" fillId="8" borderId="1" xfId="0" applyNumberFormat="1" applyFont="1" applyFill="1" applyBorder="1"/>
    <x:xf numFmtId="0" fontId="5" fillId="8" borderId="1" xfId="0" applyNumberFormat="1" applyFont="1" applyFill="1" applyBorder="1"/>
    <x:xf numFmtId="0" fontId="5" fillId="8" borderId="3" xfId="0" applyNumberFormat="1" applyFont="1" applyFill="1" applyBorder="1"/>
    <x:xf numFmtId="0" fontId="5" fillId="8" borderId="3" xfId="0" applyNumberFormat="1" applyFont="1" applyFill="1" applyBorder="1" applyAlignment="1">
      <x:alignment wrapText="1"/>
    </x:xf>
    <x:xf numFmtId="0" fontId="5" fillId="8" borderId="3" xfId="0" applyNumberFormat="1" applyFont="1" applyFill="1" applyBorder="1" applyAlignment="1">
      <x:alignment vertical="center" wrapText="1"/>
    </x:xf>
    <x:xf numFmtId="0" fontId="7" fillId="8" borderId="2" xfId="0" applyNumberFormat="1" applyFont="1" applyFill="1" applyBorder="1" applyAlignment="1">
      <x:alignment vertical="center" wrapText="1"/>
    </x:xf>
    <x:xf numFmtId="0" fontId="7" fillId="8" borderId="3" xfId="0" applyNumberFormat="1" applyFont="1" applyFill="1" applyBorder="1" applyAlignment="1">
      <x:alignment vertical="center" wrapText="1"/>
    </x:xf>
    <x:xf numFmtId="204" fontId="5" fillId="8" borderId="2" xfId="0" applyNumberFormat="1" applyFont="1" applyFill="1" applyBorder="1" applyAlignment="1">
      <x:alignment vertical="center" wrapText="1"/>
    </x:xf>
    <x:xf numFmtId="204" fontId="5" fillId="8" borderId="3" xfId="0" applyNumberFormat="1" applyFont="1" applyFill="1" applyBorder="1" applyAlignment="1">
      <x:alignment vertical="center" wrapText="1"/>
    </x:xf>
    <x:xf numFmtId="205" fontId="5" fillId="8" borderId="2" xfId="0" applyNumberFormat="1" applyFont="1" applyFill="1" applyBorder="1" applyAlignment="1">
      <x:alignment vertical="center" wrapText="1"/>
    </x:xf>
    <x:xf numFmtId="205" fontId="5" fillId="8" borderId="3" xfId="0" applyNumberFormat="1" applyFont="1" applyFill="1" applyBorder="1" applyAlignment="1">
      <x:alignment vertical="center" wrapText="1"/>
    </x:xf>
    <x:xf numFmtId="0" fontId="5" fillId="8" borderId="2" xfId="0" applyNumberFormat="1" applyFont="1" applyFill="1" applyBorder="1" applyAlignment="1">
      <x:alignment horizontal="right" vertical="center" wrapText="1"/>
    </x:xf>
    <x:xf numFmtId="204" fontId="5" fillId="8" borderId="2" xfId="0" applyNumberFormat="1" applyFont="1" applyFill="1" applyBorder="1" applyAlignment="1">
      <x:alignment horizontal="right" vertical="center" wrapText="1"/>
    </x:xf>
    <x:xf numFmtId="205" fontId="5" fillId="8" borderId="2" xfId="0" applyNumberFormat="1" applyFont="1" applyFill="1" applyBorder="1" applyAlignment="1">
      <x:alignment horizontal="right" vertical="center" wrapText="1"/>
    </x:xf>
    <x:xf numFmtId="0" fontId="5" fillId="8" borderId="3" xfId="0" applyNumberFormat="1" applyFont="1" applyFill="1" applyBorder="1" applyAlignment="1">
      <x:alignment horizontal="right" vertical="center" wrapText="1"/>
    </x:xf>
    <x:xf numFmtId="204" fontId="5" fillId="8" borderId="3" xfId="0" applyNumberFormat="1" applyFont="1" applyFill="1" applyBorder="1" applyAlignment="1">
      <x:alignment horizontal="right" vertical="center" wrapText="1"/>
    </x:xf>
    <x:xf numFmtId="205" fontId="5" fillId="8" borderId="3" xfId="0" applyNumberFormat="1" applyFont="1" applyFill="1" applyBorder="1" applyAlignment="1">
      <x:alignment horizontal="right" vertical="center" wrapText="1"/>
    </x:xf>
    <x:xf numFmtId="0" fontId="10" fillId="0" borderId="0" xfId="0" applyNumberFormat="1" applyFont="1" applyFill="1" applyBorder="1"/>
    <x:xf numFmtId="0" fontId="10" fillId="0" borderId="1" xfId="0" applyNumberFormat="1" applyFont="1" applyFill="1" applyBorder="1"/>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2" fillId="10" borderId="0" xfId="0" applyNumberFormat="1" applyFont="1" applyFill="1" applyBorder="1" applyAlignment="1">
      <x:alignment horizontal="left" vertical="center" wrapText="1"/>
    </x:xf>
    <x:xf numFmtId="0" fontId="3" fillId="11" borderId="0" xfId="0" applyNumberFormat="1" applyFont="1" applyFill="1" applyBorder="1" applyAlignment="1">
      <x:alignment horizontal="left" vertical="center" wrapText="1"/>
    </x:xf>
    <x:xf numFmtId="0" fontId="4" fillId="12" borderId="2" xfId="0" applyNumberFormat="1" applyFont="1" applyFill="1" applyBorder="1" applyAlignment="1">
      <x:alignment horizontal="center" vertical="center" wrapText="1"/>
    </x:xf>
    <x:xf numFmtId="0" fontId="5" fillId="11" borderId="2" xfId="0" applyNumberFormat="1" applyFont="1" applyFill="1" applyBorder="1" applyAlignment="1">
      <x:alignment horizontal="left" vertical="center" wrapText="0"/>
    </x:xf>
    <x:xf numFmtId="200" fontId="5" fillId="11" borderId="2" xfId="0" applyNumberFormat="1" applyFont="1" applyFill="1" applyBorder="1" applyAlignment="1">
      <x:alignment horizontal="center" vertical="center" wrapText="0"/>
    </x:xf>
    <x:xf numFmtId="201" fontId="5" fillId="11" borderId="2" xfId="0" applyNumberFormat="1" applyFont="1" applyFill="1" applyBorder="1" applyAlignment="1">
      <x:alignment horizontal="center" vertical="center" wrapText="0"/>
    </x:xf>
    <x:xf numFmtId="202" fontId="5" fillId="11" borderId="2" xfId="0" applyNumberFormat="1" applyFont="1" applyFill="1" applyBorder="1" applyAlignment="1">
      <x:alignment horizontal="center" vertical="center" wrapText="0"/>
    </x:xf>
    <x:xf numFmtId="0" fontId="5" fillId="11" borderId="2" xfId="0" applyNumberFormat="1" applyFont="1" applyFill="1" applyBorder="1" applyAlignment="1">
      <x:alignment horizontal="left" vertical="center" wrapText="1"/>
    </x:xf>
    <x:xf numFmtId="202" fontId="5" fillId="13" borderId="2" xfId="0" applyNumberFormat="1" applyFont="1" applyFill="1" applyBorder="1" applyAlignment="1">
      <x:alignment horizontal="right" vertical="center" wrapText="0"/>
    </x:xf>
    <x:xf numFmtId="203" fontId="5" fillId="11" borderId="2" xfId="0" applyNumberFormat="1" applyFont="1" applyFill="1" applyBorder="1" applyAlignment="1">
      <x:alignment horizontal="left" vertical="center" wrapText="0"/>
    </x:xf>
    <x:xf numFmtId="202" fontId="5" fillId="11" borderId="2" xfId="0" applyNumberFormat="1" applyFont="1" applyFill="1" applyBorder="1" applyAlignment="1">
      <x:alignment horizontal="right" vertical="center" wrapText="0"/>
    </x:xf>
    <x:xf numFmtId="0" fontId="5" fillId="13" borderId="2" xfId="0" applyNumberFormat="1" applyFont="1" applyFill="1" applyBorder="1" applyAlignment="1">
      <x:alignment horizontal="left" vertical="center" wrapText="0"/>
    </x:xf>
    <x:xf numFmtId="0" fontId="5" fillId="13" borderId="2" xfId="0" applyNumberFormat="1" applyFont="1" applyFill="1" applyBorder="1" applyAlignment="1">
      <x:alignment horizontal="left" vertical="center" wrapText="1"/>
    </x:xf>
    <x:xf numFmtId="0" fontId="0" fillId="9" borderId="0" xfId="0" applyNumberFormat="1" applyFont="1" applyFill="1" applyBorder="1"/>
    <x:xf numFmtId="0" fontId="11" fillId="9" borderId="0" xfId="0" applyNumberFormat="1" applyFont="1" applyFill="1" applyBorder="1"/>
    <x:xf numFmtId="0" fontId="11" fillId="9" borderId="0" xfId="0" applyNumberFormat="1" applyFont="1" applyFill="1" applyBorder="1" applyAlignment="1">
      <x:alignment horizontal="left"/>
    </x:xf>
    <x:xf numFmtId="0" fontId="11" fillId="9" borderId="0" xfId="0" applyNumberFormat="1" applyFont="1" applyFill="1" applyBorder="1" applyAlignment="1">
      <x:alignment horizontal="left" vertical="center"/>
    </x:xf>
    <x:xf numFmtId="0" fontId="0" fillId="10" borderId="0" xfId="0" applyNumberFormat="1" applyFont="1" applyFill="1" applyBorder="1"/>
    <x:xf numFmtId="0" fontId="12" fillId="10" borderId="0" xfId="0" applyNumberFormat="1" applyFont="1" applyFill="1" applyBorder="1"/>
    <x:xf numFmtId="0" fontId="12" fillId="10" borderId="0" xfId="0" applyNumberFormat="1" applyFont="1" applyFill="1" applyBorder="1" applyAlignment="1">
      <x:alignment wrapText="1"/>
    </x:xf>
    <x:xf numFmtId="0" fontId="12" fillId="10" borderId="0" xfId="0" applyNumberFormat="1" applyFont="1" applyFill="1" applyBorder="1" applyAlignment="1">
      <x:alignment horizontal="left" wrapText="1"/>
    </x:xf>
    <x:xf numFmtId="0" fontId="12" fillId="10" borderId="0" xfId="0" applyNumberFormat="1" applyFont="1" applyFill="1" applyBorder="1" applyAlignment="1">
      <x:alignment horizontal="left" vertical="center" wrapText="1"/>
    </x:xf>
    <x:xf numFmtId="0" fontId="0" fillId="11" borderId="0" xfId="0" applyNumberFormat="1" applyFont="1" applyFill="1" applyBorder="1"/>
    <x:xf numFmtId="0" fontId="13" fillId="11" borderId="0" xfId="0" applyNumberFormat="1" applyFont="1" applyFill="1" applyBorder="1"/>
    <x:xf numFmtId="0" fontId="13" fillId="11" borderId="0" xfId="0" applyNumberFormat="1" applyFont="1" applyFill="1" applyBorder="1" applyAlignment="1">
      <x:alignment wrapText="1"/>
    </x:xf>
    <x:xf numFmtId="0" fontId="13" fillId="11" borderId="0" xfId="0" applyNumberFormat="1" applyFont="1" applyFill="1" applyBorder="1" applyAlignment="1">
      <x:alignment horizontal="left" wrapText="1"/>
    </x:xf>
    <x:xf numFmtId="0" fontId="13" fillId="11" borderId="0" xfId="0" applyNumberFormat="1" applyFont="1" applyFill="1" applyBorder="1" applyAlignment="1">
      <x:alignment horizontal="left" vertical="center" wrapText="1"/>
    </x:xf>
    <x:xf numFmtId="0" fontId="0" fillId="14" borderId="0" xfId="0" applyNumberFormat="1" applyFont="1" applyFill="1" applyBorder="1"/>
    <x:xf numFmtId="0" fontId="11" fillId="14" borderId="0" xfId="0" applyNumberFormat="1" applyFont="1" applyFill="1" applyBorder="1"/>
    <x:xf numFmtId="0" fontId="11" fillId="14" borderId="0" xfId="0" applyNumberFormat="1" applyFont="1" applyFill="1" applyBorder="1" applyAlignment="1">
      <x:alignment horizontal="left"/>
    </x:xf>
    <x:xf numFmtId="0" fontId="11" fillId="14" borderId="0" xfId="0" applyNumberFormat="1" applyFont="1" applyFill="1" applyBorder="1" applyAlignment="1">
      <x:alignment horizontal="left" vertical="center"/>
    </x:xf>
    <x:xf numFmtId="0" fontId="0" fillId="12" borderId="0" xfId="0" applyNumberFormat="1" applyFont="1" applyFill="1" applyBorder="1"/>
    <x:xf numFmtId="0" fontId="11" fillId="12" borderId="0" xfId="0" applyNumberFormat="1" applyFont="1" applyFill="1" applyBorder="1"/>
    <x:xf numFmtId="0" fontId="11" fillId="12" borderId="6" xfId="0" applyNumberFormat="1" applyFont="1" applyFill="1" applyBorder="1"/>
    <x:xf numFmtId="0" fontId="11" fillId="12" borderId="7" xfId="0" applyNumberFormat="1" applyFont="1" applyFill="1" applyBorder="1"/>
    <x:xf numFmtId="0" fontId="11" fillId="12" borderId="8" xfId="0" applyNumberFormat="1" applyFont="1" applyFill="1" applyBorder="1"/>
    <x:xf numFmtId="0" fontId="11" fillId="12" borderId="6" xfId="0" applyNumberFormat="1" applyFont="1" applyFill="1" applyBorder="1" applyAlignment="1">
      <x:alignment wrapText="1"/>
    </x:xf>
    <x:xf numFmtId="0" fontId="11" fillId="12" borderId="7" xfId="0" applyNumberFormat="1" applyFont="1" applyFill="1" applyBorder="1" applyAlignment="1">
      <x:alignment wrapText="1"/>
    </x:xf>
    <x:xf numFmtId="0" fontId="11" fillId="12" borderId="8" xfId="0" applyNumberFormat="1" applyFont="1" applyFill="1" applyBorder="1" applyAlignment="1">
      <x:alignment wrapText="1"/>
    </x:xf>
    <x:xf numFmtId="0" fontId="11" fillId="12" borderId="6" xfId="0" applyNumberFormat="1" applyFont="1" applyFill="1" applyBorder="1" applyAlignment="1">
      <x:alignment horizontal="center" wrapText="1"/>
    </x:xf>
    <x:xf numFmtId="0" fontId="11" fillId="12" borderId="7" xfId="0" applyNumberFormat="1" applyFont="1" applyFill="1" applyBorder="1" applyAlignment="1">
      <x:alignment horizontal="center" wrapText="1"/>
    </x:xf>
    <x:xf numFmtId="0" fontId="11" fillId="12" borderId="8" xfId="0" applyNumberFormat="1" applyFont="1" applyFill="1" applyBorder="1" applyAlignment="1">
      <x:alignment horizontal="center" wrapText="1"/>
    </x:xf>
    <x:xf numFmtId="0" fontId="11" fillId="12" borderId="6" xfId="0" applyNumberFormat="1" applyFont="1" applyFill="1" applyBorder="1" applyAlignment="1">
      <x:alignment horizontal="center" vertical="center" wrapText="1"/>
    </x:xf>
    <x:xf numFmtId="0" fontId="11" fillId="12" borderId="7" xfId="0" applyNumberFormat="1" applyFont="1" applyFill="1" applyBorder="1" applyAlignment="1">
      <x:alignment horizontal="center" vertical="center" wrapText="1"/>
    </x:xf>
    <x:xf numFmtId="0" fontId="11" fillId="12" borderId="8" xfId="0" applyNumberFormat="1" applyFont="1" applyFill="1" applyBorder="1" applyAlignment="1">
      <x:alignment horizontal="center" vertical="center" wrapText="1"/>
    </x:xf>
    <x:xf numFmtId="0" fontId="14" fillId="11" borderId="0" xfId="0" applyNumberFormat="1" applyFont="1" applyFill="1" applyBorder="1"/>
    <x:xf numFmtId="0" fontId="14" fillId="11" borderId="9" xfId="0" applyNumberFormat="1" applyFont="1" applyFill="1" applyBorder="1"/>
    <x:xf numFmtId="0" fontId="14" fillId="11" borderId="10" xfId="0" applyNumberFormat="1" applyFont="1" applyFill="1" applyBorder="1"/>
    <x:xf numFmtId="0" fontId="14" fillId="11" borderId="11" xfId="0" applyNumberFormat="1" applyFont="1" applyFill="1" applyBorder="1"/>
    <x:xf numFmtId="0" fontId="14" fillId="11" borderId="12" xfId="0" applyNumberFormat="1" applyFont="1" applyFill="1" applyBorder="1"/>
    <x:xf numFmtId="0" fontId="14" fillId="11" xfId="0" applyNumberFormat="1" applyFont="1" applyFill="1" applyBorder="0"/>
    <x:xf numFmtId="0" fontId="14" fillId="11" borderId="13" xfId="0" applyNumberFormat="1" applyFont="1" applyFill="1" applyBorder="1"/>
    <x:xf numFmtId="0" fontId="14" fillId="11" borderId="14" xfId="0" applyNumberFormat="1" applyFont="1" applyFill="1" applyBorder="1"/>
    <x:xf numFmtId="0" fontId="14" fillId="11" borderId="15" xfId="0" applyNumberFormat="1" applyFont="1" applyFill="1" applyBorder="1"/>
    <x:xf numFmtId="0" fontId="14" fillId="11" borderId="16" xfId="0" applyNumberFormat="1" applyFont="1" applyFill="1" applyBorder="1"/>
    <x:xf numFmtId="0" fontId="14" fillId="11" borderId="9" xfId="0" applyNumberFormat="1" applyFont="1" applyFill="1" applyBorder="1" applyAlignment="1">
      <x:alignment vertical="center"/>
    </x:xf>
    <x:xf numFmtId="0" fontId="14" fillId="11" borderId="10" xfId="0" applyNumberFormat="1" applyFont="1" applyFill="1" applyBorder="1" applyAlignment="1">
      <x:alignment vertical="center"/>
    </x:xf>
    <x:xf numFmtId="0" fontId="14" fillId="11" borderId="11" xfId="0" applyNumberFormat="1" applyFont="1" applyFill="1" applyBorder="1" applyAlignment="1">
      <x:alignment vertical="center"/>
    </x:xf>
    <x:xf numFmtId="0" fontId="14" fillId="11" borderId="12" xfId="0" applyNumberFormat="1" applyFont="1" applyFill="1" applyBorder="1" applyAlignment="1">
      <x:alignment vertical="center"/>
    </x:xf>
    <x:xf numFmtId="0" fontId="14" fillId="11" xfId="0" applyNumberFormat="1" applyFont="1" applyFill="1" applyBorder="0" applyAlignment="1">
      <x:alignment vertical="center"/>
    </x:xf>
    <x:xf numFmtId="0" fontId="14" fillId="11" borderId="13" xfId="0" applyNumberFormat="1" applyFont="1" applyFill="1" applyBorder="1" applyAlignment="1">
      <x:alignment vertical="center"/>
    </x:xf>
    <x:xf numFmtId="0" fontId="14" fillId="11" borderId="14" xfId="0" applyNumberFormat="1" applyFont="1" applyFill="1" applyBorder="1" applyAlignment="1">
      <x:alignment vertical="center"/>
    </x:xf>
    <x:xf numFmtId="0" fontId="14" fillId="11" borderId="15" xfId="0" applyNumberFormat="1" applyFont="1" applyFill="1" applyBorder="1" applyAlignment="1">
      <x:alignment vertical="center"/>
    </x:xf>
    <x:xf numFmtId="0" fontId="14" fillId="11" borderId="16" xfId="0" applyNumberFormat="1" applyFont="1" applyFill="1" applyBorder="1" applyAlignment="1">
      <x:alignment vertical="center"/>
    </x:xf>
    <x:xf numFmtId="0" fontId="12" fillId="11" borderId="9" xfId="0" applyNumberFormat="1" applyFont="1" applyFill="1" applyBorder="1" applyAlignment="1">
      <x:alignment vertical="center"/>
    </x:xf>
    <x:xf numFmtId="0" fontId="12" fillId="11" borderId="12" xfId="0" applyNumberFormat="1" applyFont="1" applyFill="1" applyBorder="1" applyAlignment="1">
      <x:alignment vertical="center"/>
    </x:xf>
    <x:xf numFmtId="0" fontId="12" fillId="11" borderId="14" xfId="0" applyNumberFormat="1" applyFont="1" applyFill="1" applyBorder="1" applyAlignment="1">
      <x:alignment vertical="center"/>
    </x:xf>
    <x:xf numFmtId="0" fontId="12" fillId="11" borderId="9" xfId="0" applyNumberFormat="1" applyFont="1" applyFill="1" applyBorder="1" applyAlignment="1">
      <x:alignment vertical="center" wrapText="1"/>
    </x:xf>
    <x:xf numFmtId="0" fontId="14" fillId="11" borderId="10" xfId="0" applyNumberFormat="1" applyFont="1" applyFill="1" applyBorder="1" applyAlignment="1">
      <x:alignment vertical="center" wrapText="1"/>
    </x:xf>
    <x:xf numFmtId="0" fontId="14" fillId="11" borderId="11" xfId="0" applyNumberFormat="1" applyFont="1" applyFill="1" applyBorder="1" applyAlignment="1">
      <x:alignment vertical="center" wrapText="1"/>
    </x:xf>
    <x:xf numFmtId="0" fontId="12" fillId="11" borderId="12" xfId="0" applyNumberFormat="1" applyFont="1" applyFill="1" applyBorder="1" applyAlignment="1">
      <x:alignment vertical="center" wrapText="1"/>
    </x:xf>
    <x:xf numFmtId="0" fontId="14" fillId="11" xfId="0" applyNumberFormat="1" applyFont="1" applyFill="1" applyBorder="0" applyAlignment="1">
      <x:alignment vertical="center" wrapText="1"/>
    </x:xf>
    <x:xf numFmtId="0" fontId="14" fillId="11" borderId="13" xfId="0" applyNumberFormat="1" applyFont="1" applyFill="1" applyBorder="1" applyAlignment="1">
      <x:alignment vertical="center" wrapText="1"/>
    </x:xf>
    <x:xf numFmtId="0" fontId="12" fillId="11" borderId="14" xfId="0" applyNumberFormat="1" applyFont="1" applyFill="1" applyBorder="1" applyAlignment="1">
      <x:alignment vertical="center" wrapText="1"/>
    </x:xf>
    <x:xf numFmtId="0" fontId="14" fillId="11" borderId="15" xfId="0" applyNumberFormat="1" applyFont="1" applyFill="1" applyBorder="1" applyAlignment="1">
      <x:alignment vertical="center" wrapText="1"/>
    </x:xf>
    <x:xf numFmtId="0" fontId="14" fillId="11" borderId="16" xfId="0" applyNumberFormat="1" applyFont="1" applyFill="1" applyBorder="1" applyAlignment="1">
      <x:alignment vertical="center" wrapText="1"/>
    </x:xf>
    <x:xf numFmtId="0" fontId="0" fillId="13" borderId="0" xfId="0" applyNumberFormat="1" applyFont="1" applyFill="1" applyBorder="1"/>
    <x:xf numFmtId="0" fontId="15" fillId="13" borderId="0" xfId="0" applyNumberFormat="1" applyFont="1" applyFill="1" applyBorder="1"/>
    <x:xf numFmtId="0" fontId="15" fillId="13" borderId="6" xfId="0" applyNumberFormat="1" applyFont="1" applyFill="1" applyBorder="1"/>
    <x:xf numFmtId="0" fontId="15" fillId="13" borderId="7" xfId="0" applyNumberFormat="1" applyFont="1" applyFill="1" applyBorder="1"/>
    <x:xf numFmtId="0" fontId="15" fillId="13" borderId="8" xfId="0" applyNumberFormat="1" applyFont="1" applyFill="1" applyBorder="1"/>
    <x:xf numFmtId="0" fontId="15" fillId="13" borderId="6" xfId="0" applyNumberFormat="1" applyFont="1" applyFill="1" applyBorder="1" applyAlignment="1">
      <x:alignment vertical="center"/>
    </x:xf>
    <x:xf numFmtId="0" fontId="15" fillId="13" borderId="7" xfId="0" applyNumberFormat="1" applyFont="1" applyFill="1" applyBorder="1" applyAlignment="1">
      <x:alignment vertical="center"/>
    </x:xf>
    <x:xf numFmtId="0" fontId="15" fillId="13" borderId="8" xfId="0" applyNumberFormat="1" applyFont="1" applyFill="1" applyBorder="1" applyAlignment="1">
      <x:alignment vertical="center"/>
    </x:xf>
    <x:xf numFmtId="0" fontId="14" fillId="11" borderId="9" xfId="0" applyNumberFormat="1" applyFont="1" applyFill="1" applyBorder="1" applyAlignment="1">
      <x:alignment vertical="center" wrapText="1"/>
    </x:xf>
    <x:xf numFmtId="0" fontId="14" fillId="11" borderId="14" xfId="0" applyNumberFormat="1" applyFont="1" applyFill="1" applyBorder="1" applyAlignment="1">
      <x:alignment vertical="center" wrapText="1"/>
    </x:xf>
    <x:xf numFmtId="0" fontId="0" fillId="15" borderId="0" xfId="0" applyNumberFormat="1" applyFont="1" applyFill="1" applyBorder="1"/>
    <x:xf numFmtId="0" fontId="14" fillId="15" borderId="0" xfId="0" applyNumberFormat="1" applyFont="1" applyFill="1" applyBorder="1"/>
    <x:xf numFmtId="0" fontId="14" fillId="15" borderId="9" xfId="0" applyNumberFormat="1" applyFont="1" applyFill="1" applyBorder="1"/>
    <x:xf numFmtId="0" fontId="14" fillId="15" borderId="10" xfId="0" applyNumberFormat="1" applyFont="1" applyFill="1" applyBorder="1"/>
    <x:xf numFmtId="0" fontId="14" fillId="15" borderId="11" xfId="0" applyNumberFormat="1" applyFont="1" applyFill="1" applyBorder="1"/>
    <x:xf numFmtId="0" fontId="14" fillId="15" borderId="12" xfId="0" applyNumberFormat="1" applyFont="1" applyFill="1" applyBorder="1"/>
    <x:xf numFmtId="0" fontId="14" fillId="15" xfId="0" applyNumberFormat="1" applyFont="1" applyFill="1" applyBorder="0"/>
    <x:xf numFmtId="0" fontId="14" fillId="15" borderId="13" xfId="0" applyNumberFormat="1" applyFont="1" applyFill="1" applyBorder="1"/>
    <x:xf numFmtId="0" fontId="14" fillId="15" borderId="14" xfId="0" applyNumberFormat="1" applyFont="1" applyFill="1" applyBorder="1"/>
    <x:xf numFmtId="0" fontId="14" fillId="15" borderId="15" xfId="0" applyNumberFormat="1" applyFont="1" applyFill="1" applyBorder="1"/>
    <x:xf numFmtId="0" fontId="14" fillId="15" borderId="16" xfId="0" applyNumberFormat="1" applyFont="1" applyFill="1" applyBorder="1"/>
    <x:xf numFmtId="0" fontId="14" fillId="15" borderId="9" xfId="0" applyNumberFormat="1" applyFont="1" applyFill="1" applyBorder="1" applyAlignment="1">
      <x:alignment wrapText="1"/>
    </x:xf>
    <x:xf numFmtId="0" fontId="14" fillId="15" borderId="10" xfId="0" applyNumberFormat="1" applyFont="1" applyFill="1" applyBorder="1" applyAlignment="1">
      <x:alignment wrapText="1"/>
    </x:xf>
    <x:xf numFmtId="0" fontId="14" fillId="15" borderId="11" xfId="0" applyNumberFormat="1" applyFont="1" applyFill="1" applyBorder="1" applyAlignment="1">
      <x:alignment wrapText="1"/>
    </x:xf>
    <x:xf numFmtId="0" fontId="14" fillId="15" borderId="12" xfId="0" applyNumberFormat="1" applyFont="1" applyFill="1" applyBorder="1" applyAlignment="1">
      <x:alignment wrapText="1"/>
    </x:xf>
    <x:xf numFmtId="0" fontId="14" fillId="15" xfId="0" applyNumberFormat="1" applyFont="1" applyFill="1" applyBorder="0" applyAlignment="1">
      <x:alignment wrapText="1"/>
    </x:xf>
    <x:xf numFmtId="0" fontId="14" fillId="15" borderId="13" xfId="0" applyNumberFormat="1" applyFont="1" applyFill="1" applyBorder="1" applyAlignment="1">
      <x:alignment wrapText="1"/>
    </x:xf>
    <x:xf numFmtId="0" fontId="14" fillId="15" borderId="14" xfId="0" applyNumberFormat="1" applyFont="1" applyFill="1" applyBorder="1" applyAlignment="1">
      <x:alignment wrapText="1"/>
    </x:xf>
    <x:xf numFmtId="0" fontId="14" fillId="15" borderId="15" xfId="0" applyNumberFormat="1" applyFont="1" applyFill="1" applyBorder="1" applyAlignment="1">
      <x:alignment wrapText="1"/>
    </x:xf>
    <x:xf numFmtId="0" fontId="14" fillId="15" borderId="16" xfId="0" applyNumberFormat="1" applyFont="1" applyFill="1" applyBorder="1" applyAlignment="1">
      <x:alignment wrapText="1"/>
    </x:xf>
    <x:xf numFmtId="0" fontId="14" fillId="15" borderId="9" xfId="0" applyNumberFormat="1" applyFont="1" applyFill="1" applyBorder="1" applyAlignment="1">
      <x:alignment vertical="center" wrapText="1"/>
    </x:xf>
    <x:xf numFmtId="0" fontId="14" fillId="15" borderId="10" xfId="0" applyNumberFormat="1" applyFont="1" applyFill="1" applyBorder="1" applyAlignment="1">
      <x:alignment vertical="center" wrapText="1"/>
    </x:xf>
    <x:xf numFmtId="0" fontId="14" fillId="15" borderId="11" xfId="0" applyNumberFormat="1" applyFont="1" applyFill="1" applyBorder="1" applyAlignment="1">
      <x:alignment vertical="center" wrapText="1"/>
    </x:xf>
    <x:xf numFmtId="0" fontId="14" fillId="15" borderId="12" xfId="0" applyNumberFormat="1" applyFont="1" applyFill="1" applyBorder="1" applyAlignment="1">
      <x:alignment vertical="center" wrapText="1"/>
    </x:xf>
    <x:xf numFmtId="0" fontId="14" fillId="15" xfId="0" applyNumberFormat="1" applyFont="1" applyFill="1" applyBorder="0" applyAlignment="1">
      <x:alignment vertical="center" wrapText="1"/>
    </x:xf>
    <x:xf numFmtId="0" fontId="14" fillId="15" borderId="13" xfId="0" applyNumberFormat="1" applyFont="1" applyFill="1" applyBorder="1" applyAlignment="1">
      <x:alignment vertical="center" wrapText="1"/>
    </x:xf>
    <x:xf numFmtId="0" fontId="14" fillId="15" borderId="14" xfId="0" applyNumberFormat="1" applyFont="1" applyFill="1" applyBorder="1" applyAlignment="1">
      <x:alignment vertical="center" wrapText="1"/>
    </x:xf>
    <x:xf numFmtId="0" fontId="14" fillId="15" borderId="15" xfId="0" applyNumberFormat="1" applyFont="1" applyFill="1" applyBorder="1" applyAlignment="1">
      <x:alignment vertical="center" wrapText="1"/>
    </x:xf>
    <x:xf numFmtId="0" fontId="14" fillId="15" borderId="16" xfId="0" applyNumberFormat="1" applyFont="1" applyFill="1" applyBorder="1" applyAlignment="1">
      <x:alignment vertical="center" wrapText="1"/>
    </x:xf>
    <x:xf numFmtId="0" fontId="14" fillId="11" borderId="17" xfId="0" applyNumberFormat="1" applyFont="1" applyFill="1" applyBorder="1"/>
    <x:xf numFmtId="0" fontId="14" fillId="11" borderId="18" xfId="0" applyNumberFormat="1" applyFont="1" applyFill="1" applyBorder="1"/>
    <x:xf numFmtId="0" fontId="14" fillId="11" borderId="17" xfId="0" applyNumberFormat="1" applyFont="1" applyFill="1" applyBorder="1" applyAlignment="1">
      <x:alignment vertical="center"/>
    </x:xf>
    <x:xf numFmtId="0" fontId="14" fillId="11" borderId="18" xfId="0" applyNumberFormat="1" applyFont="1" applyFill="1" applyBorder="1" applyAlignment="1">
      <x:alignment vertical="center"/>
    </x:xf>
    <x:xf numFmtId="0" fontId="16" fillId="11" borderId="0" xfId="0" applyNumberFormat="1" applyFont="1" applyFill="1" applyBorder="1"/>
    <x:xf numFmtId="0" fontId="16" fillId="11" borderId="9" xfId="0" applyNumberFormat="1" applyFont="1" applyFill="1" applyBorder="1"/>
    <x:xf numFmtId="0" fontId="16" fillId="11" borderId="11" xfId="0" applyNumberFormat="1" applyFont="1" applyFill="1" applyBorder="1"/>
    <x:xf numFmtId="0" fontId="16" fillId="11" borderId="14" xfId="0" applyNumberFormat="1" applyFont="1" applyFill="1" applyBorder="1"/>
    <x:xf numFmtId="0" fontId="16" fillId="11" borderId="16" xfId="0" applyNumberFormat="1" applyFont="1" applyFill="1" applyBorder="1"/>
    <x:xf numFmtId="0" fontId="16" fillId="11" borderId="9" xfId="0" applyNumberFormat="1" applyFont="1" applyFill="1" applyBorder="1" applyAlignment="1">
      <x:alignment vertical="center"/>
    </x:xf>
    <x:xf numFmtId="0" fontId="16" fillId="11" borderId="11" xfId="0" applyNumberFormat="1" applyFont="1" applyFill="1" applyBorder="1" applyAlignment="1">
      <x:alignment vertical="center"/>
    </x:xf>
    <x:xf numFmtId="0" fontId="16" fillId="11" borderId="14" xfId="0" applyNumberFormat="1" applyFont="1" applyFill="1" applyBorder="1" applyAlignment="1">
      <x:alignment vertical="center"/>
    </x:xf>
    <x:xf numFmtId="0" fontId="16" fillId="11" borderId="16" xfId="0" applyNumberFormat="1" applyFont="1" applyFill="1" applyBorder="1" applyAlignment="1">
      <x:alignment vertical="center"/>
    </x:xf>
    <x:xf numFmtId="0" fontId="14" fillId="11" borderId="2" xfId="0" applyNumberFormat="1" applyFont="1" applyFill="1" applyBorder="1"/>
    <x:xf numFmtId="0" fontId="14" fillId="11" borderId="2" xfId="0" applyNumberFormat="1" applyFont="1" applyFill="1" applyBorder="1" applyAlignment="1">
      <x:alignment vertical="center"/>
    </x:xf>
    <x:xf numFmtId="0" fontId="12" fillId="11" borderId="2" xfId="0" applyNumberFormat="1" applyFont="1" applyFill="1" applyBorder="1" applyAlignment="1">
      <x:alignment vertical="center"/>
    </x:xf>
    <x:xf numFmtId="0" fontId="14" fillId="11" borderId="6" xfId="0" applyNumberFormat="1" applyFont="1" applyFill="1" applyBorder="1"/>
    <x:xf numFmtId="0" fontId="14" fillId="11" borderId="8" xfId="0" applyNumberFormat="1" applyFont="1" applyFill="1" applyBorder="1"/>
    <x:xf numFmtId="0" fontId="14" fillId="11" borderId="6" xfId="0" applyNumberFormat="1" applyFont="1" applyFill="1" applyBorder="1" applyAlignment="1">
      <x:alignment vertical="center"/>
    </x:xf>
    <x:xf numFmtId="0" fontId="14" fillId="11" borderId="8" xfId="0" applyNumberFormat="1" applyFont="1" applyFill="1" applyBorder="1" applyAlignment="1">
      <x:alignment vertical="center"/>
    </x:xf>
    <x:xf numFmtId="0" fontId="16" fillId="11" borderId="6" xfId="0" applyNumberFormat="1" applyFont="1" applyFill="1" applyBorder="1"/>
    <x:xf numFmtId="0" fontId="16" fillId="11" borderId="8" xfId="0" applyNumberFormat="1" applyFont="1" applyFill="1" applyBorder="1"/>
    <x:xf numFmtId="0" fontId="16" fillId="11" borderId="6" xfId="0" applyNumberFormat="1" applyFont="1" applyFill="1" applyBorder="1" applyAlignment="1">
      <x:alignment vertical="center"/>
    </x:xf>
    <x:xf numFmtId="0" fontId="16" fillId="11" borderId="8" xfId="0" applyNumberFormat="1" applyFont="1" applyFill="1" applyBorder="1" applyAlignment="1">
      <x:alignment vertical="center"/>
    </x:xf>
    <x:xf numFmtId="0" fontId="14" fillId="11" borderId="12" xfId="0" applyNumberFormat="1" applyFont="1" applyFill="1" applyBorder="1" applyAlignment="1">
      <x:alignment vertical="center" wrapText="1"/>
    </x:xf>
    <x:xf numFmtId="202" fontId="14" fillId="11" borderId="10" xfId="0" applyNumberFormat="1" applyFont="1" applyFill="1" applyBorder="1" applyAlignment="1">
      <x:alignment vertical="center" wrapText="1"/>
    </x:xf>
    <x:xf numFmtId="202" fontId="14" fillId="11" xfId="0" applyNumberFormat="1" applyFont="1" applyFill="1" applyBorder="0" applyAlignment="1">
      <x:alignment vertical="center" wrapText="1"/>
    </x:xf>
    <x:xf numFmtId="202" fontId="14" fillId="11" borderId="15" xfId="0" applyNumberFormat="1" applyFont="1" applyFill="1" applyBorder="1" applyAlignment="1">
      <x:alignment vertical="center" wrapText="1"/>
    </x:xf>
    <x:xf numFmtId="0" fontId="14" fillId="11" borderId="19" xfId="0" applyNumberFormat="1" applyFont="1" applyFill="1" applyBorder="1"/>
    <x:xf numFmtId="0" fontId="14" fillId="11" borderId="19" xfId="0" applyNumberFormat="1" applyFont="1" applyFill="1" applyBorder="1" applyAlignment="1">
      <x:alignment vertical="center"/>
    </x:xf>
    <x:xf numFmtId="0" fontId="14" fillId="13" borderId="0" xfId="0" applyNumberFormat="1" applyFont="1" applyFill="1" applyBorder="1"/>
    <x:xf numFmtId="0" fontId="14" fillId="13" borderId="9" xfId="0" applyNumberFormat="1" applyFont="1" applyFill="1" applyBorder="1"/>
    <x:xf numFmtId="0" fontId="14" fillId="13" borderId="11" xfId="0" applyNumberFormat="1" applyFont="1" applyFill="1" applyBorder="1"/>
    <x:xf numFmtId="0" fontId="14" fillId="13" borderId="12" xfId="0" applyNumberFormat="1" applyFont="1" applyFill="1" applyBorder="1"/>
    <x:xf numFmtId="0" fontId="14" fillId="13" borderId="13" xfId="0" applyNumberFormat="1" applyFont="1" applyFill="1" applyBorder="1"/>
    <x:xf numFmtId="0" fontId="14" fillId="13" borderId="14" xfId="0" applyNumberFormat="1" applyFont="1" applyFill="1" applyBorder="1"/>
    <x:xf numFmtId="0" fontId="14" fillId="13" borderId="16" xfId="0" applyNumberFormat="1" applyFont="1" applyFill="1" applyBorder="1"/>
    <x:xf numFmtId="0" fontId="14" fillId="13" borderId="9" xfId="0" applyNumberFormat="1" applyFont="1" applyFill="1" applyBorder="1" applyAlignment="1">
      <x:alignment vertical="center"/>
    </x:xf>
    <x:xf numFmtId="0" fontId="14" fillId="13" borderId="11" xfId="0" applyNumberFormat="1" applyFont="1" applyFill="1" applyBorder="1" applyAlignment="1">
      <x:alignment vertical="center"/>
    </x:xf>
    <x:xf numFmtId="0" fontId="14" fillId="13" borderId="12" xfId="0" applyNumberFormat="1" applyFont="1" applyFill="1" applyBorder="1" applyAlignment="1">
      <x:alignment vertical="center"/>
    </x:xf>
    <x:xf numFmtId="0" fontId="14" fillId="13" borderId="13" xfId="0" applyNumberFormat="1" applyFont="1" applyFill="1" applyBorder="1" applyAlignment="1">
      <x:alignment vertical="center"/>
    </x:xf>
    <x:xf numFmtId="0" fontId="14" fillId="13" borderId="14" xfId="0" applyNumberFormat="1" applyFont="1" applyFill="1" applyBorder="1" applyAlignment="1">
      <x:alignment vertical="center"/>
    </x:xf>
    <x:xf numFmtId="0" fontId="14" fillId="13" borderId="16" xfId="0" applyNumberFormat="1" applyFont="1" applyFill="1" applyBorder="1" applyAlignment="1">
      <x:alignment vertical="center"/>
    </x:xf>
    <x:xf numFmtId="204" fontId="14" fillId="13" borderId="9" xfId="0" applyNumberFormat="1" applyFont="1" applyFill="1" applyBorder="1" applyAlignment="1">
      <x:alignment vertical="center"/>
    </x:xf>
    <x:xf numFmtId="204" fontId="14" fillId="13" borderId="12" xfId="0" applyNumberFormat="1" applyFont="1" applyFill="1" applyBorder="1" applyAlignment="1">
      <x:alignment vertical="center"/>
    </x:xf>
    <x:xf numFmtId="204" fontId="14" fillId="13" borderId="14" xfId="0" applyNumberFormat="1" applyFont="1" applyFill="1" applyBorder="1" applyAlignment="1">
      <x:alignment vertical="center"/>
    </x:xf>
    <x:xf numFmtId="206" fontId="14" fillId="13" borderId="11" xfId="0" applyNumberFormat="1" applyFont="1" applyFill="1" applyBorder="1" applyAlignment="1">
      <x:alignment vertical="center"/>
    </x:xf>
    <x:xf numFmtId="206" fontId="14" fillId="13" borderId="13" xfId="0" applyNumberFormat="1" applyFont="1" applyFill="1" applyBorder="1" applyAlignment="1">
      <x:alignment vertical="center"/>
    </x:xf>
    <x:xf numFmtId="206" fontId="14" fillId="13" borderId="16" xfId="0" applyNumberFormat="1" applyFont="1" applyFill="1" applyBorder="1" applyAlignment="1">
      <x:alignment vertical="center"/>
    </x:xf>
    <x:xf numFmtId="0" fontId="12" fillId="11" borderId="18" xfId="0" applyNumberFormat="1" applyFont="1" applyFill="1" applyBorder="1" applyAlignment="1">
      <x:alignment vertical="center"/>
    </x:xf>
    <x:xf numFmtId="204" fontId="12" fillId="13" borderId="14" xfId="0" applyNumberFormat="1" applyFont="1" applyFill="1" applyBorder="1" applyAlignment="1">
      <x:alignment vertical="center"/>
    </x:xf>
    <x:xf numFmtId="206" fontId="12" fillId="13" borderId="16" xfId="0" applyNumberFormat="1" applyFont="1" applyFill="1" applyBorder="1" applyAlignment="1">
      <x:alignment vertical="center"/>
    </x:xf>
    <x:xf numFmtId="204" fontId="14" fillId="13" borderId="13" xfId="0" applyNumberFormat="1" applyFont="1" applyFill="1" applyBorder="1" applyAlignment="1">
      <x:alignment vertical="center"/>
    </x:xf>
    <x:xf numFmtId="206" fontId="14" fillId="13" borderId="14" xfId="0" applyNumberFormat="1" applyFont="1" applyFill="1" applyBorder="1" applyAlignment="1">
      <x:alignment vertical="center"/>
    </x:xf>
    <x:xf numFmtId="204" fontId="14" fillId="13" borderId="11" xfId="0" applyNumberFormat="1" applyFont="1" applyFill="1" applyBorder="1" applyAlignment="1">
      <x:alignment vertical="center"/>
    </x:xf>
    <x:xf numFmtId="204" fontId="14" fillId="13" borderId="16" xfId="0" applyNumberFormat="1" applyFont="1" applyFill="1" applyBorder="1" applyAlignment="1">
      <x:alignment vertical="center"/>
    </x:xf>
    <x:xf numFmtId="204" fontId="12" fillId="13" borderId="16" xfId="0" applyNumberFormat="1" applyFont="1" applyFill="1" applyBorder="1" applyAlignment="1">
      <x:alignment vertical="center"/>
    </x:xf>
    <x:xf numFmtId="0" fontId="5" fillId="6" borderId="2" xfId="0" applyNumberFormat="1" applyFont="1" applyFill="1" applyBorder="1" applyAlignment="1">
      <x:alignment horizontal="left" vertical="center" wrapText="1"/>
    </x:xf>
    <x:xf numFmtId="0" fontId="11" fillId="2" borderId="0" xfId="0" applyNumberFormat="1" applyFont="1" applyFill="1" applyBorder="1"/>
    <x:xf numFmtId="0" fontId="11" fillId="2" borderId="0" xfId="0" applyNumberFormat="1" applyFont="1" applyFill="1" applyBorder="1" applyAlignment="1">
      <x:alignment horizontal="left"/>
    </x:xf>
    <x:xf numFmtId="0" fontId="11" fillId="2" borderId="0" xfId="0" applyNumberFormat="1" applyFont="1" applyFill="1" applyBorder="1" applyAlignment="1">
      <x:alignment horizontal="left" vertical="center"/>
    </x:xf>
    <x:xf numFmtId="0" fontId="12" fillId="3" borderId="0" xfId="0" applyNumberFormat="1" applyFont="1" applyFill="1" applyBorder="1"/>
    <x:xf numFmtId="0" fontId="12" fillId="3" borderId="0" xfId="0" applyNumberFormat="1" applyFont="1" applyFill="1" applyBorder="1" applyAlignment="1">
      <x:alignment wrapText="1"/>
    </x:xf>
    <x:xf numFmtId="0" fontId="12" fillId="3" borderId="0" xfId="0" applyNumberFormat="1" applyFont="1" applyFill="1" applyBorder="1" applyAlignment="1">
      <x:alignment horizontal="left" wrapText="1"/>
    </x:xf>
    <x:xf numFmtId="0" fontId="12" fillId="3" borderId="0" xfId="0" applyNumberFormat="1" applyFont="1" applyFill="1" applyBorder="1" applyAlignment="1">
      <x:alignment horizontal="left" vertical="center" wrapText="1"/>
    </x:xf>
    <x:xf numFmtId="0" fontId="13" fillId="4" borderId="0" xfId="0" applyNumberFormat="1" applyFont="1" applyFill="1" applyBorder="1"/>
    <x:xf numFmtId="0" fontId="13" fillId="4" borderId="0" xfId="0" applyNumberFormat="1" applyFont="1" applyFill="1" applyBorder="1" applyAlignment="1">
      <x:alignment wrapText="1"/>
    </x:xf>
    <x:xf numFmtId="0" fontId="13" fillId="4" borderId="0" xfId="0" applyNumberFormat="1" applyFont="1" applyFill="1" applyBorder="1" applyAlignment="1">
      <x:alignment horizontal="left" wrapText="1"/>
    </x:xf>
    <x:xf numFmtId="0" fontId="13" fillId="4" borderId="0" xfId="0" applyNumberFormat="1" applyFont="1" applyFill="1" applyBorder="1" applyAlignment="1">
      <x:alignment horizontal="left" vertical="center" wrapText="1"/>
    </x:xf>
    <x:xf numFmtId="0" fontId="11" fillId="7" borderId="0" xfId="0" applyNumberFormat="1" applyFont="1" applyFill="1" applyBorder="1"/>
    <x:xf numFmtId="0" fontId="11" fillId="7" borderId="0" xfId="0" applyNumberFormat="1" applyFont="1" applyFill="1" applyBorder="1" applyAlignment="1">
      <x:alignment horizontal="left"/>
    </x:xf>
    <x:xf numFmtId="0" fontId="11" fillId="7" borderId="0" xfId="0" applyNumberFormat="1" applyFont="1" applyFill="1" applyBorder="1" applyAlignment="1">
      <x:alignment horizontal="left" vertical="center"/>
    </x:xf>
    <x:xf numFmtId="0" fontId="11" fillId="5" borderId="0" xfId="0" applyNumberFormat="1" applyFont="1" applyFill="1" applyBorder="1"/>
    <x:xf numFmtId="0" fontId="11" fillId="5" borderId="6" xfId="0" applyNumberFormat="1" applyFont="1" applyFill="1" applyBorder="1"/>
    <x:xf numFmtId="0" fontId="11" fillId="5" borderId="7" xfId="0" applyNumberFormat="1" applyFont="1" applyFill="1" applyBorder="1"/>
    <x:xf numFmtId="0" fontId="11" fillId="5" borderId="8" xfId="0" applyNumberFormat="1" applyFont="1" applyFill="1" applyBorder="1"/>
    <x:xf numFmtId="0" fontId="11" fillId="5" borderId="6" xfId="0" applyNumberFormat="1" applyFont="1" applyFill="1" applyBorder="1" applyAlignment="1">
      <x:alignment wrapText="1"/>
    </x:xf>
    <x:xf numFmtId="0" fontId="11" fillId="5" borderId="7" xfId="0" applyNumberFormat="1" applyFont="1" applyFill="1" applyBorder="1" applyAlignment="1">
      <x:alignment wrapText="1"/>
    </x:xf>
    <x:xf numFmtId="0" fontId="11" fillId="5" borderId="8" xfId="0" applyNumberFormat="1" applyFont="1" applyFill="1" applyBorder="1" applyAlignment="1">
      <x:alignment wrapText="1"/>
    </x:xf>
    <x:xf numFmtId="0" fontId="11" fillId="5" borderId="6" xfId="0" applyNumberFormat="1" applyFont="1" applyFill="1" applyBorder="1" applyAlignment="1">
      <x:alignment horizontal="center" wrapText="1"/>
    </x:xf>
    <x:xf numFmtId="0" fontId="11" fillId="5" borderId="7" xfId="0" applyNumberFormat="1" applyFont="1" applyFill="1" applyBorder="1" applyAlignment="1">
      <x:alignment horizontal="center" wrapText="1"/>
    </x:xf>
    <x:xf numFmtId="0" fontId="11" fillId="5" borderId="8" xfId="0" applyNumberFormat="1" applyFont="1" applyFill="1" applyBorder="1" applyAlignment="1">
      <x:alignment horizontal="center" wrapText="1"/>
    </x:xf>
    <x:xf numFmtId="0" fontId="11" fillId="5" borderId="6" xfId="0" applyNumberFormat="1" applyFont="1" applyFill="1" applyBorder="1" applyAlignment="1">
      <x:alignment horizontal="center" vertical="center" wrapText="1"/>
    </x:xf>
    <x:xf numFmtId="0" fontId="11" fillId="5" borderId="7" xfId="0" applyNumberFormat="1" applyFont="1" applyFill="1" applyBorder="1" applyAlignment="1">
      <x:alignment horizontal="center" vertical="center" wrapText="1"/>
    </x:xf>
    <x:xf numFmtId="0" fontId="11" fillId="5" borderId="8" xfId="0" applyNumberFormat="1" applyFont="1" applyFill="1" applyBorder="1" applyAlignment="1">
      <x:alignment horizontal="center" vertical="center" wrapText="1"/>
    </x:xf>
    <x:xf numFmtId="0" fontId="14" fillId="4" borderId="0" xfId="0" applyNumberFormat="1" applyFont="1" applyFill="1" applyBorder="1"/>
    <x:xf numFmtId="0" fontId="14" fillId="4" borderId="9" xfId="0" applyNumberFormat="1" applyFont="1" applyFill="1" applyBorder="1"/>
    <x:xf numFmtId="0" fontId="14" fillId="4" borderId="10" xfId="0" applyNumberFormat="1" applyFont="1" applyFill="1" applyBorder="1"/>
    <x:xf numFmtId="0" fontId="14" fillId="4" borderId="11" xfId="0" applyNumberFormat="1" applyFont="1" applyFill="1" applyBorder="1"/>
    <x:xf numFmtId="0" fontId="14" fillId="4" borderId="12" xfId="0" applyNumberFormat="1" applyFont="1" applyFill="1" applyBorder="1"/>
    <x:xf numFmtId="0" fontId="14" fillId="4" xfId="0" applyNumberFormat="1" applyFont="1" applyFill="1" applyBorder="0"/>
    <x:xf numFmtId="0" fontId="14" fillId="4" borderId="13" xfId="0" applyNumberFormat="1" applyFont="1" applyFill="1" applyBorder="1"/>
    <x:xf numFmtId="0" fontId="14" fillId="4" borderId="14" xfId="0" applyNumberFormat="1" applyFont="1" applyFill="1" applyBorder="1"/>
    <x:xf numFmtId="0" fontId="14" fillId="4" borderId="15" xfId="0" applyNumberFormat="1" applyFont="1" applyFill="1" applyBorder="1"/>
    <x:xf numFmtId="0" fontId="14" fillId="4" borderId="16" xfId="0" applyNumberFormat="1" applyFont="1" applyFill="1" applyBorder="1"/>
    <x:xf numFmtId="0" fontId="14" fillId="4" borderId="9" xfId="0" applyNumberFormat="1" applyFont="1" applyFill="1" applyBorder="1" applyAlignment="1">
      <x:alignment vertical="center"/>
    </x:xf>
    <x:xf numFmtId="0" fontId="14" fillId="4" borderId="10" xfId="0" applyNumberFormat="1" applyFont="1" applyFill="1" applyBorder="1" applyAlignment="1">
      <x:alignment vertical="center"/>
    </x:xf>
    <x:xf numFmtId="0" fontId="14" fillId="4" borderId="11" xfId="0" applyNumberFormat="1" applyFont="1" applyFill="1" applyBorder="1" applyAlignment="1">
      <x:alignment vertical="center"/>
    </x:xf>
    <x:xf numFmtId="0" fontId="14" fillId="4" borderId="12" xfId="0" applyNumberFormat="1" applyFont="1" applyFill="1" applyBorder="1" applyAlignment="1">
      <x:alignment vertical="center"/>
    </x:xf>
    <x:xf numFmtId="0" fontId="14" fillId="4" xfId="0" applyNumberFormat="1" applyFont="1" applyFill="1" applyBorder="0" applyAlignment="1">
      <x:alignment vertical="center"/>
    </x:xf>
    <x:xf numFmtId="0" fontId="14" fillId="4" borderId="13" xfId="0" applyNumberFormat="1" applyFont="1" applyFill="1" applyBorder="1" applyAlignment="1">
      <x:alignment vertical="center"/>
    </x:xf>
    <x:xf numFmtId="0" fontId="14" fillId="4" borderId="14" xfId="0" applyNumberFormat="1" applyFont="1" applyFill="1" applyBorder="1" applyAlignment="1">
      <x:alignment vertical="center"/>
    </x:xf>
    <x:xf numFmtId="0" fontId="14" fillId="4" borderId="15" xfId="0" applyNumberFormat="1" applyFont="1" applyFill="1" applyBorder="1" applyAlignment="1">
      <x:alignment vertical="center"/>
    </x:xf>
    <x:xf numFmtId="0" fontId="14" fillId="4" borderId="16" xfId="0" applyNumberFormat="1" applyFont="1" applyFill="1" applyBorder="1" applyAlignment="1">
      <x:alignment vertical="center"/>
    </x:xf>
    <x:xf numFmtId="0" fontId="12" fillId="4" borderId="9" xfId="0" applyNumberFormat="1" applyFont="1" applyFill="1" applyBorder="1" applyAlignment="1">
      <x:alignment vertical="center"/>
    </x:xf>
    <x:xf numFmtId="0" fontId="12" fillId="4" borderId="12" xfId="0" applyNumberFormat="1" applyFont="1" applyFill="1" applyBorder="1" applyAlignment="1">
      <x:alignment vertical="center"/>
    </x:xf>
    <x:xf numFmtId="0" fontId="12" fillId="4" borderId="14" xfId="0" applyNumberFormat="1" applyFont="1" applyFill="1" applyBorder="1" applyAlignment="1">
      <x:alignment vertical="center"/>
    </x:xf>
    <x:xf numFmtId="0" fontId="12" fillId="4" borderId="9" xfId="0" applyNumberFormat="1" applyFont="1" applyFill="1" applyBorder="1" applyAlignment="1">
      <x:alignment vertical="center" wrapText="1"/>
    </x:xf>
    <x:xf numFmtId="0" fontId="14" fillId="4" borderId="10" xfId="0" applyNumberFormat="1" applyFont="1" applyFill="1" applyBorder="1" applyAlignment="1">
      <x:alignment vertical="center" wrapText="1"/>
    </x:xf>
    <x:xf numFmtId="0" fontId="14" fillId="4" borderId="11" xfId="0" applyNumberFormat="1" applyFont="1" applyFill="1" applyBorder="1" applyAlignment="1">
      <x:alignment vertical="center" wrapText="1"/>
    </x:xf>
    <x:xf numFmtId="0" fontId="12" fillId="4" borderId="12" xfId="0" applyNumberFormat="1" applyFont="1" applyFill="1" applyBorder="1" applyAlignment="1">
      <x:alignment vertical="center" wrapText="1"/>
    </x:xf>
    <x:xf numFmtId="0" fontId="14" fillId="4" xfId="0" applyNumberFormat="1" applyFont="1" applyFill="1" applyBorder="0" applyAlignment="1">
      <x:alignment vertical="center" wrapText="1"/>
    </x:xf>
    <x:xf numFmtId="0" fontId="14" fillId="4" borderId="13" xfId="0" applyNumberFormat="1" applyFont="1" applyFill="1" applyBorder="1" applyAlignment="1">
      <x:alignment vertical="center" wrapText="1"/>
    </x:xf>
    <x:xf numFmtId="0" fontId="12" fillId="4" borderId="14" xfId="0" applyNumberFormat="1" applyFont="1" applyFill="1" applyBorder="1" applyAlignment="1">
      <x:alignment vertical="center" wrapText="1"/>
    </x:xf>
    <x:xf numFmtId="0" fontId="14" fillId="4" borderId="15" xfId="0" applyNumberFormat="1" applyFont="1" applyFill="1" applyBorder="1" applyAlignment="1">
      <x:alignment vertical="center" wrapText="1"/>
    </x:xf>
    <x:xf numFmtId="0" fontId="14" fillId="4" borderId="16" xfId="0" applyNumberFormat="1" applyFont="1" applyFill="1" applyBorder="1" applyAlignment="1">
      <x:alignment vertical="center" wrapText="1"/>
    </x:xf>
    <x:xf numFmtId="0" fontId="15" fillId="6" borderId="0" xfId="0" applyNumberFormat="1" applyFont="1" applyFill="1" applyBorder="1"/>
    <x:xf numFmtId="0" fontId="15" fillId="6" borderId="6" xfId="0" applyNumberFormat="1" applyFont="1" applyFill="1" applyBorder="1"/>
    <x:xf numFmtId="0" fontId="15" fillId="6" borderId="7" xfId="0" applyNumberFormat="1" applyFont="1" applyFill="1" applyBorder="1"/>
    <x:xf numFmtId="0" fontId="15" fillId="6" borderId="8" xfId="0" applyNumberFormat="1" applyFont="1" applyFill="1" applyBorder="1"/>
    <x:xf numFmtId="0" fontId="15" fillId="6" borderId="6" xfId="0" applyNumberFormat="1" applyFont="1" applyFill="1" applyBorder="1" applyAlignment="1">
      <x:alignment vertical="center"/>
    </x:xf>
    <x:xf numFmtId="0" fontId="15" fillId="6" borderId="7" xfId="0" applyNumberFormat="1" applyFont="1" applyFill="1" applyBorder="1" applyAlignment="1">
      <x:alignment vertical="center"/>
    </x:xf>
    <x:xf numFmtId="0" fontId="15" fillId="6" borderId="8" xfId="0" applyNumberFormat="1" applyFont="1" applyFill="1" applyBorder="1" applyAlignment="1">
      <x:alignment vertical="center"/>
    </x:xf>
    <x:xf numFmtId="0" fontId="14" fillId="4" borderId="9" xfId="0" applyNumberFormat="1" applyFont="1" applyFill="1" applyBorder="1" applyAlignment="1">
      <x:alignment vertical="center" wrapText="1"/>
    </x:xf>
    <x:xf numFmtId="0" fontId="14" fillId="4" borderId="14" xfId="0" applyNumberFormat="1" applyFont="1" applyFill="1" applyBorder="1" applyAlignment="1">
      <x:alignment vertical="center" wrapText="1"/>
    </x:xf>
    <x:xf numFmtId="0" fontId="14" fillId="8" borderId="0" xfId="0" applyNumberFormat="1" applyFont="1" applyFill="1" applyBorder="1"/>
    <x:xf numFmtId="0" fontId="14" fillId="8" borderId="9" xfId="0" applyNumberFormat="1" applyFont="1" applyFill="1" applyBorder="1"/>
    <x:xf numFmtId="0" fontId="14" fillId="8" borderId="10" xfId="0" applyNumberFormat="1" applyFont="1" applyFill="1" applyBorder="1"/>
    <x:xf numFmtId="0" fontId="14" fillId="8" borderId="11" xfId="0" applyNumberFormat="1" applyFont="1" applyFill="1" applyBorder="1"/>
    <x:xf numFmtId="0" fontId="14" fillId="8" borderId="12" xfId="0" applyNumberFormat="1" applyFont="1" applyFill="1" applyBorder="1"/>
    <x:xf numFmtId="0" fontId="14" fillId="8" xfId="0" applyNumberFormat="1" applyFont="1" applyFill="1" applyBorder="0"/>
    <x:xf numFmtId="0" fontId="14" fillId="8" borderId="13" xfId="0" applyNumberFormat="1" applyFont="1" applyFill="1" applyBorder="1"/>
    <x:xf numFmtId="0" fontId="14" fillId="8" borderId="14" xfId="0" applyNumberFormat="1" applyFont="1" applyFill="1" applyBorder="1"/>
    <x:xf numFmtId="0" fontId="14" fillId="8" borderId="15" xfId="0" applyNumberFormat="1" applyFont="1" applyFill="1" applyBorder="1"/>
    <x:xf numFmtId="0" fontId="14" fillId="8" borderId="16" xfId="0" applyNumberFormat="1" applyFont="1" applyFill="1" applyBorder="1"/>
    <x:xf numFmtId="0" fontId="14" fillId="8" borderId="9" xfId="0" applyNumberFormat="1" applyFont="1" applyFill="1" applyBorder="1" applyAlignment="1">
      <x:alignment wrapText="1"/>
    </x:xf>
    <x:xf numFmtId="0" fontId="14" fillId="8" borderId="10" xfId="0" applyNumberFormat="1" applyFont="1" applyFill="1" applyBorder="1" applyAlignment="1">
      <x:alignment wrapText="1"/>
    </x:xf>
    <x:xf numFmtId="0" fontId="14" fillId="8" borderId="11" xfId="0" applyNumberFormat="1" applyFont="1" applyFill="1" applyBorder="1" applyAlignment="1">
      <x:alignment wrapText="1"/>
    </x:xf>
    <x:xf numFmtId="0" fontId="14" fillId="8" borderId="12" xfId="0" applyNumberFormat="1" applyFont="1" applyFill="1" applyBorder="1" applyAlignment="1">
      <x:alignment wrapText="1"/>
    </x:xf>
    <x:xf numFmtId="0" fontId="14" fillId="8" xfId="0" applyNumberFormat="1" applyFont="1" applyFill="1" applyBorder="0" applyAlignment="1">
      <x:alignment wrapText="1"/>
    </x:xf>
    <x:xf numFmtId="0" fontId="14" fillId="8" borderId="13" xfId="0" applyNumberFormat="1" applyFont="1" applyFill="1" applyBorder="1" applyAlignment="1">
      <x:alignment wrapText="1"/>
    </x:xf>
    <x:xf numFmtId="0" fontId="14" fillId="8" borderId="14" xfId="0" applyNumberFormat="1" applyFont="1" applyFill="1" applyBorder="1" applyAlignment="1">
      <x:alignment wrapText="1"/>
    </x:xf>
    <x:xf numFmtId="0" fontId="14" fillId="8" borderId="15" xfId="0" applyNumberFormat="1" applyFont="1" applyFill="1" applyBorder="1" applyAlignment="1">
      <x:alignment wrapText="1"/>
    </x:xf>
    <x:xf numFmtId="0" fontId="14" fillId="8" borderId="16" xfId="0" applyNumberFormat="1" applyFont="1" applyFill="1" applyBorder="1" applyAlignment="1">
      <x:alignment wrapText="1"/>
    </x:xf>
    <x:xf numFmtId="0" fontId="14" fillId="8" borderId="9" xfId="0" applyNumberFormat="1" applyFont="1" applyFill="1" applyBorder="1" applyAlignment="1">
      <x:alignment vertical="center" wrapText="1"/>
    </x:xf>
    <x:xf numFmtId="0" fontId="14" fillId="8" borderId="10" xfId="0" applyNumberFormat="1" applyFont="1" applyFill="1" applyBorder="1" applyAlignment="1">
      <x:alignment vertical="center" wrapText="1"/>
    </x:xf>
    <x:xf numFmtId="0" fontId="14" fillId="8" borderId="11" xfId="0" applyNumberFormat="1" applyFont="1" applyFill="1" applyBorder="1" applyAlignment="1">
      <x:alignment vertical="center" wrapText="1"/>
    </x:xf>
    <x:xf numFmtId="0" fontId="14" fillId="8" borderId="12" xfId="0" applyNumberFormat="1" applyFont="1" applyFill="1" applyBorder="1" applyAlignment="1">
      <x:alignment vertical="center" wrapText="1"/>
    </x:xf>
    <x:xf numFmtId="0" fontId="14" fillId="8" xfId="0" applyNumberFormat="1" applyFont="1" applyFill="1" applyBorder="0" applyAlignment="1">
      <x:alignment vertical="center" wrapText="1"/>
    </x:xf>
    <x:xf numFmtId="0" fontId="14" fillId="8" borderId="13" xfId="0" applyNumberFormat="1" applyFont="1" applyFill="1" applyBorder="1" applyAlignment="1">
      <x:alignment vertical="center" wrapText="1"/>
    </x:xf>
    <x:xf numFmtId="0" fontId="14" fillId="8" borderId="14" xfId="0" applyNumberFormat="1" applyFont="1" applyFill="1" applyBorder="1" applyAlignment="1">
      <x:alignment vertical="center" wrapText="1"/>
    </x:xf>
    <x:xf numFmtId="0" fontId="14" fillId="8" borderId="15" xfId="0" applyNumberFormat="1" applyFont="1" applyFill="1" applyBorder="1" applyAlignment="1">
      <x:alignment vertical="center" wrapText="1"/>
    </x:xf>
    <x:xf numFmtId="0" fontId="14" fillId="8" borderId="16" xfId="0" applyNumberFormat="1" applyFont="1" applyFill="1" applyBorder="1" applyAlignment="1">
      <x:alignment vertical="center" wrapText="1"/>
    </x:xf>
    <x:xf numFmtId="0" fontId="14" fillId="4" borderId="17" xfId="0" applyNumberFormat="1" applyFont="1" applyFill="1" applyBorder="1"/>
    <x:xf numFmtId="0" fontId="14" fillId="4" borderId="18" xfId="0" applyNumberFormat="1" applyFont="1" applyFill="1" applyBorder="1"/>
    <x:xf numFmtId="0" fontId="14" fillId="4" borderId="17" xfId="0" applyNumberFormat="1" applyFont="1" applyFill="1" applyBorder="1" applyAlignment="1">
      <x:alignment vertical="center"/>
    </x:xf>
    <x:xf numFmtId="0" fontId="14" fillId="4" borderId="18" xfId="0" applyNumberFormat="1" applyFont="1" applyFill="1" applyBorder="1" applyAlignment="1">
      <x:alignment vertical="center"/>
    </x:xf>
    <x:xf numFmtId="0" fontId="16" fillId="4" borderId="0" xfId="0" applyNumberFormat="1" applyFont="1" applyFill="1" applyBorder="1"/>
    <x:xf numFmtId="0" fontId="16" fillId="4" borderId="9" xfId="0" applyNumberFormat="1" applyFont="1" applyFill="1" applyBorder="1"/>
    <x:xf numFmtId="0" fontId="16" fillId="4" borderId="11" xfId="0" applyNumberFormat="1" applyFont="1" applyFill="1" applyBorder="1"/>
    <x:xf numFmtId="0" fontId="16" fillId="4" borderId="14" xfId="0" applyNumberFormat="1" applyFont="1" applyFill="1" applyBorder="1"/>
    <x:xf numFmtId="0" fontId="16" fillId="4" borderId="16" xfId="0" applyNumberFormat="1" applyFont="1" applyFill="1" applyBorder="1"/>
    <x:xf numFmtId="0" fontId="16" fillId="4" borderId="9" xfId="0" applyNumberFormat="1" applyFont="1" applyFill="1" applyBorder="1" applyAlignment="1">
      <x:alignment vertical="center"/>
    </x:xf>
    <x:xf numFmtId="0" fontId="16" fillId="4" borderId="11" xfId="0" applyNumberFormat="1" applyFont="1" applyFill="1" applyBorder="1" applyAlignment="1">
      <x:alignment vertical="center"/>
    </x:xf>
    <x:xf numFmtId="0" fontId="16" fillId="4" borderId="14" xfId="0" applyNumberFormat="1" applyFont="1" applyFill="1" applyBorder="1" applyAlignment="1">
      <x:alignment vertical="center"/>
    </x:xf>
    <x:xf numFmtId="0" fontId="16" fillId="4" borderId="16" xfId="0" applyNumberFormat="1" applyFont="1" applyFill="1" applyBorder="1" applyAlignment="1">
      <x:alignment vertical="center"/>
    </x:xf>
    <x:xf numFmtId="0" fontId="14" fillId="4" borderId="2" xfId="0" applyNumberFormat="1" applyFont="1" applyFill="1" applyBorder="1"/>
    <x:xf numFmtId="0" fontId="14" fillId="4" borderId="2" xfId="0" applyNumberFormat="1" applyFont="1" applyFill="1" applyBorder="1" applyAlignment="1">
      <x:alignment vertical="center"/>
    </x:xf>
    <x:xf numFmtId="0" fontId="12" fillId="4" borderId="2" xfId="0" applyNumberFormat="1" applyFont="1" applyFill="1" applyBorder="1" applyAlignment="1">
      <x:alignment vertical="center"/>
    </x:xf>
    <x:xf numFmtId="0" fontId="14" fillId="4" borderId="6" xfId="0" applyNumberFormat="1" applyFont="1" applyFill="1" applyBorder="1"/>
    <x:xf numFmtId="0" fontId="14" fillId="4" borderId="8" xfId="0" applyNumberFormat="1" applyFont="1" applyFill="1" applyBorder="1"/>
    <x:xf numFmtId="0" fontId="14" fillId="4" borderId="6" xfId="0" applyNumberFormat="1" applyFont="1" applyFill="1" applyBorder="1" applyAlignment="1">
      <x:alignment vertical="center"/>
    </x:xf>
    <x:xf numFmtId="0" fontId="14" fillId="4" borderId="8" xfId="0" applyNumberFormat="1" applyFont="1" applyFill="1" applyBorder="1" applyAlignment="1">
      <x:alignment vertical="center"/>
    </x:xf>
    <x:xf numFmtId="0" fontId="16" fillId="4" borderId="6" xfId="0" applyNumberFormat="1" applyFont="1" applyFill="1" applyBorder="1"/>
    <x:xf numFmtId="0" fontId="16" fillId="4" borderId="8" xfId="0" applyNumberFormat="1" applyFont="1" applyFill="1" applyBorder="1"/>
    <x:xf numFmtId="0" fontId="16" fillId="4" borderId="6" xfId="0" applyNumberFormat="1" applyFont="1" applyFill="1" applyBorder="1" applyAlignment="1">
      <x:alignment vertical="center"/>
    </x:xf>
    <x:xf numFmtId="0" fontId="16" fillId="4" borderId="8" xfId="0" applyNumberFormat="1" applyFont="1" applyFill="1" applyBorder="1" applyAlignment="1">
      <x:alignment vertical="center"/>
    </x:xf>
    <x:xf numFmtId="0" fontId="14" fillId="4" borderId="12" xfId="0" applyNumberFormat="1" applyFont="1" applyFill="1" applyBorder="1" applyAlignment="1">
      <x:alignment vertical="center" wrapText="1"/>
    </x:xf>
    <x:xf numFmtId="202" fontId="14" fillId="4" borderId="10" xfId="0" applyNumberFormat="1" applyFont="1" applyFill="1" applyBorder="1" applyAlignment="1">
      <x:alignment vertical="center" wrapText="1"/>
    </x:xf>
    <x:xf numFmtId="202" fontId="14" fillId="4" xfId="0" applyNumberFormat="1" applyFont="1" applyFill="1" applyBorder="0" applyAlignment="1">
      <x:alignment vertical="center" wrapText="1"/>
    </x:xf>
    <x:xf numFmtId="202" fontId="14" fillId="4" borderId="15" xfId="0" applyNumberFormat="1" applyFont="1" applyFill="1" applyBorder="1" applyAlignment="1">
      <x:alignment vertical="center" wrapText="1"/>
    </x:xf>
    <x:xf numFmtId="0" fontId="14" fillId="4" borderId="19" xfId="0" applyNumberFormat="1" applyFont="1" applyFill="1" applyBorder="1"/>
    <x:xf numFmtId="0" fontId="14" fillId="4" borderId="19" xfId="0" applyNumberFormat="1" applyFont="1" applyFill="1" applyBorder="1" applyAlignment="1">
      <x:alignment vertical="center"/>
    </x:xf>
    <x:xf numFmtId="0" fontId="14" fillId="6" borderId="0" xfId="0" applyNumberFormat="1" applyFont="1" applyFill="1" applyBorder="1"/>
    <x:xf numFmtId="0" fontId="14" fillId="6" borderId="9" xfId="0" applyNumberFormat="1" applyFont="1" applyFill="1" applyBorder="1"/>
    <x:xf numFmtId="0" fontId="14" fillId="6" borderId="11" xfId="0" applyNumberFormat="1" applyFont="1" applyFill="1" applyBorder="1"/>
    <x:xf numFmtId="0" fontId="14" fillId="6" borderId="12" xfId="0" applyNumberFormat="1" applyFont="1" applyFill="1" applyBorder="1"/>
    <x:xf numFmtId="0" fontId="14" fillId="6" borderId="13" xfId="0" applyNumberFormat="1" applyFont="1" applyFill="1" applyBorder="1"/>
    <x:xf numFmtId="0" fontId="14" fillId="6" borderId="14" xfId="0" applyNumberFormat="1" applyFont="1" applyFill="1" applyBorder="1"/>
    <x:xf numFmtId="0" fontId="14" fillId="6" borderId="16" xfId="0" applyNumberFormat="1" applyFont="1" applyFill="1" applyBorder="1"/>
    <x:xf numFmtId="0" fontId="14" fillId="6" borderId="9" xfId="0" applyNumberFormat="1" applyFont="1" applyFill="1" applyBorder="1" applyAlignment="1">
      <x:alignment vertical="center"/>
    </x:xf>
    <x:xf numFmtId="0" fontId="14" fillId="6" borderId="11" xfId="0" applyNumberFormat="1" applyFont="1" applyFill="1" applyBorder="1" applyAlignment="1">
      <x:alignment vertical="center"/>
    </x:xf>
    <x:xf numFmtId="0" fontId="14" fillId="6" borderId="12" xfId="0" applyNumberFormat="1" applyFont="1" applyFill="1" applyBorder="1" applyAlignment="1">
      <x:alignment vertical="center"/>
    </x:xf>
    <x:xf numFmtId="0" fontId="14" fillId="6" borderId="13" xfId="0" applyNumberFormat="1" applyFont="1" applyFill="1" applyBorder="1" applyAlignment="1">
      <x:alignment vertical="center"/>
    </x:xf>
    <x:xf numFmtId="0" fontId="14" fillId="6" borderId="14" xfId="0" applyNumberFormat="1" applyFont="1" applyFill="1" applyBorder="1" applyAlignment="1">
      <x:alignment vertical="center"/>
    </x:xf>
    <x:xf numFmtId="0" fontId="14" fillId="6" borderId="16" xfId="0" applyNumberFormat="1" applyFont="1" applyFill="1" applyBorder="1" applyAlignment="1">
      <x:alignment vertical="center"/>
    </x:xf>
    <x:xf numFmtId="204" fontId="14" fillId="6" borderId="9" xfId="0" applyNumberFormat="1" applyFont="1" applyFill="1" applyBorder="1" applyAlignment="1">
      <x:alignment vertical="center"/>
    </x:xf>
    <x:xf numFmtId="204" fontId="14" fillId="6" borderId="12" xfId="0" applyNumberFormat="1" applyFont="1" applyFill="1" applyBorder="1" applyAlignment="1">
      <x:alignment vertical="center"/>
    </x:xf>
    <x:xf numFmtId="204" fontId="14" fillId="6" borderId="14" xfId="0" applyNumberFormat="1" applyFont="1" applyFill="1" applyBorder="1" applyAlignment="1">
      <x:alignment vertical="center"/>
    </x:xf>
    <x:xf numFmtId="206" fontId="14" fillId="6" borderId="11" xfId="0" applyNumberFormat="1" applyFont="1" applyFill="1" applyBorder="1" applyAlignment="1">
      <x:alignment vertical="center"/>
    </x:xf>
    <x:xf numFmtId="206" fontId="14" fillId="6" borderId="13" xfId="0" applyNumberFormat="1" applyFont="1" applyFill="1" applyBorder="1" applyAlignment="1">
      <x:alignment vertical="center"/>
    </x:xf>
    <x:xf numFmtId="206" fontId="14" fillId="6" borderId="16" xfId="0" applyNumberFormat="1" applyFont="1" applyFill="1" applyBorder="1" applyAlignment="1">
      <x:alignment vertical="center"/>
    </x:xf>
    <x:xf numFmtId="0" fontId="12" fillId="4" borderId="18" xfId="0" applyNumberFormat="1" applyFont="1" applyFill="1" applyBorder="1" applyAlignment="1">
      <x:alignment vertical="center"/>
    </x:xf>
    <x:xf numFmtId="204" fontId="12" fillId="6" borderId="14" xfId="0" applyNumberFormat="1" applyFont="1" applyFill="1" applyBorder="1" applyAlignment="1">
      <x:alignment vertical="center"/>
    </x:xf>
    <x:xf numFmtId="206" fontId="12" fillId="6" borderId="16" xfId="0" applyNumberFormat="1" applyFont="1" applyFill="1" applyBorder="1" applyAlignment="1">
      <x:alignment vertical="center"/>
    </x:xf>
    <x:xf numFmtId="204" fontId="14" fillId="6" borderId="13" xfId="0" applyNumberFormat="1" applyFont="1" applyFill="1" applyBorder="1" applyAlignment="1">
      <x:alignment vertical="center"/>
    </x:xf>
    <x:xf numFmtId="206" fontId="14" fillId="6" borderId="14" xfId="0" applyNumberFormat="1" applyFont="1" applyFill="1" applyBorder="1" applyAlignment="1">
      <x:alignment vertical="center"/>
    </x:xf>
    <x:xf numFmtId="204" fontId="14" fillId="6" borderId="11" xfId="0" applyNumberFormat="1" applyFont="1" applyFill="1" applyBorder="1" applyAlignment="1">
      <x:alignment vertical="center"/>
    </x:xf>
    <x:xf numFmtId="204" fontId="14" fillId="6" borderId="16" xfId="0" applyNumberFormat="1" applyFont="1" applyFill="1" applyBorder="1" applyAlignment="1">
      <x:alignment vertical="center"/>
    </x:xf>
    <x:xf numFmtId="204" fontId="12" fillId="6" borderId="16" xfId="0" applyNumberFormat="1" applyFont="1" applyFill="1" applyBorder="1" applyAlignment="1">
      <x:alignment vertical="center"/>
    </x:xf>
    <x:xf numFmtId="0" fontId="12" fillId="16" borderId="9" xfId="0" applyNumberFormat="1" applyFont="1" applyFill="1" applyBorder="1" applyAlignment="1">
      <x:alignment vertical="center" wrapText="1"/>
    </x:xf>
    <x:xf numFmtId="0" fontId="14" fillId="16" borderId="10" xfId="0" applyNumberFormat="1" applyFont="1" applyFill="1" applyBorder="1" applyAlignment="1">
      <x:alignment vertical="center" wrapText="1"/>
    </x:xf>
    <x:xf numFmtId="0" fontId="14" fillId="16" borderId="11" xfId="0" applyNumberFormat="1" applyFont="1" applyFill="1" applyBorder="1" applyAlignment="1">
      <x:alignment vertical="center" wrapText="1"/>
    </x:xf>
    <x:xf numFmtId="0" fontId="12" fillId="16" borderId="12" xfId="0" applyNumberFormat="1" applyFont="1" applyFill="1" applyBorder="1" applyAlignment="1">
      <x:alignment vertical="center" wrapText="1"/>
    </x:xf>
    <x:xf numFmtId="0" fontId="14" fillId="16" xfId="0" applyNumberFormat="1" applyFont="1" applyFill="1" applyBorder="0" applyAlignment="1">
      <x:alignment vertical="center" wrapText="1"/>
    </x:xf>
    <x:xf numFmtId="0" fontId="14" fillId="16" borderId="13" xfId="0" applyNumberFormat="1" applyFont="1" applyFill="1" applyBorder="1" applyAlignment="1">
      <x:alignment vertical="center" wrapText="1"/>
    </x:xf>
    <x:xf numFmtId="0" fontId="12" fillId="16" borderId="14"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14" fillId="16" borderId="16" xfId="0" applyNumberFormat="1" applyFont="1" applyFill="1" applyBorder="1" applyAlignment="1">
      <x:alignment vertical="center" wrapText="1"/>
    </x:xf>
    <x:xf numFmtId="0" fontId="0" fillId="17" borderId="0" xfId="0" applyNumberFormat="1" applyFont="1" applyFill="1" applyBorder="1"/>
    <x:xf numFmtId="0" fontId="11" fillId="17" borderId="0" xfId="0" applyNumberFormat="1" applyFont="1" applyFill="1" applyBorder="1"/>
    <x:xf numFmtId="0" fontId="11" fillId="17" borderId="0" xfId="0" applyNumberFormat="1" applyFont="1" applyFill="1" applyBorder="1" applyAlignment="1">
      <x:alignment wrapText="1"/>
    </x:xf>
    <x:xf numFmtId="0" fontId="0" fillId="18" borderId="0" xfId="0" applyNumberFormat="1" applyFont="1" applyFill="1" applyBorder="1"/>
    <x:xf numFmtId="0" fontId="17" fillId="18" borderId="0" xfId="0" applyNumberFormat="1" applyFont="1" applyFill="1" applyBorder="1"/>
    <x:xf numFmtId="0" fontId="11" fillId="5" borderId="0" xfId="0" applyNumberFormat="1" applyFont="1" applyFill="1" applyBorder="1" applyAlignment="1">
      <x:alignment wrapText="1"/>
    </x:xf>
    <x:xf numFmtId="0" fontId="17" fillId="3" borderId="0" xfId="0" applyNumberFormat="1" applyFont="1" applyFill="1" applyBorder="1"/>
    <x:xf numFmtId="0" fontId="4" fillId="19" borderId="2" xfId="0" applyNumberFormat="1" applyFont="1" applyFill="1" applyBorder="1" applyAlignment="1">
      <x:alignment horizontal="center" vertical="center" wrapText="1"/>
    </x:xf>
    <x:xf numFmtId="0" fontId="5" fillId="20" borderId="2" xfId="0" applyNumberFormat="1" applyFont="1" applyFill="1" applyBorder="1" applyAlignment="1">
      <x:alignment horizontal="left" vertical="center" wrapText="0"/>
    </x:xf>
    <x:xf numFmtId="200" fontId="5" fillId="20" borderId="2" xfId="0" applyNumberFormat="1" applyFont="1" applyFill="1" applyBorder="1" applyAlignment="1">
      <x:alignment horizontal="center" vertical="center" wrapText="0"/>
    </x:xf>
    <x:xf numFmtId="201" fontId="5" fillId="20" borderId="2" xfId="0" applyNumberFormat="1" applyFont="1" applyFill="1" applyBorder="1" applyAlignment="1">
      <x:alignment horizontal="center" vertical="center" wrapText="0"/>
    </x:xf>
    <x:xf numFmtId="202" fontId="5" fillId="20" borderId="2" xfId="0" applyNumberFormat="1" applyFont="1" applyFill="1" applyBorder="1" applyAlignment="1">
      <x:alignment horizontal="center" vertical="center" wrapText="0"/>
    </x:xf>
    <x:xf numFmtId="0" fontId="5" fillId="20" borderId="2" xfId="0" applyNumberFormat="1" applyFont="1" applyFill="1" applyBorder="1" applyAlignment="1">
      <x:alignment horizontal="left" vertical="center" wrapText="1"/>
    </x:xf>
    <x:xf numFmtId="202" fontId="5" fillId="21" borderId="2" xfId="0" applyNumberFormat="1" applyFont="1" applyFill="1" applyBorder="1" applyAlignment="1">
      <x:alignment horizontal="right" vertical="center" wrapText="0"/>
    </x:xf>
    <x:xf numFmtId="203" fontId="5" fillId="20" borderId="2" xfId="0" applyNumberFormat="1" applyFont="1" applyFill="1" applyBorder="1" applyAlignment="1">
      <x:alignment horizontal="left" vertical="center" wrapText="0"/>
    </x:xf>
    <x:xf numFmtId="202" fontId="5" fillId="20" borderId="2" xfId="0" applyNumberFormat="1" applyFont="1" applyFill="1" applyBorder="1" applyAlignment="1">
      <x:alignment horizontal="right" vertical="center" wrapText="0"/>
    </x:xf>
    <x:xf numFmtId="0" fontId="5" fillId="21" borderId="2" xfId="0" applyNumberFormat="1" applyFont="1" applyFill="1" applyBorder="1" applyAlignment="1">
      <x:alignment horizontal="left" vertical="center" wrapText="1"/>
    </x:xf>
  </x:cellXfs>
  <x:cellStyles count="1">
    <x:cellStyle name="Normal" xfId="0"/>
  </x:cellStyles>
  <x:dxfs count="16">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EE2E2"/>
        </x:patternFill>
      </x:fill>
    </x:dxf>
    <x:dxf>
      <x:font>
        <x:color rgb="FF9A3412"/>
      </x:font>
      <x:fill>
        <x:patternFill>
          <x:bgColor rgb="FFFFF7E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0ce8bef1d0349fb" /><Relationship Type="http://schemas.openxmlformats.org/officeDocument/2006/relationships/theme" Target="/xl/theme/theme1.xml" Id="Rc9bc62b86a644bae" /><Relationship Type="http://schemas.openxmlformats.org/officeDocument/2006/relationships/sharedStrings" Target="/xl/sharedStrings.xml" Id="Rf117125e2ca343e6" /><Relationship Type="http://schemas.openxmlformats.org/officeDocument/2006/relationships/worksheet" Target="/xl/worksheets/sheet1.xml" Id="R91f98e1e60a94303" /><Relationship Type="http://schemas.openxmlformats.org/officeDocument/2006/relationships/worksheet" Target="/xl/worksheets/sheet2.xml" Id="R16e7036e0c6f4705" /><Relationship Type="http://schemas.openxmlformats.org/officeDocument/2006/relationships/worksheet" Target="/xl/worksheets/sheet3.xml" Id="R04d7b09a9e164bca" /><Relationship Type="http://schemas.openxmlformats.org/officeDocument/2006/relationships/worksheet" Target="/xl/worksheets/sheet4.xml" Id="Ra8b9a4154a4d44f5" /><Relationship Type="http://schemas.microsoft.com/office/2017/10/relationships/person" Target="/xl/persons/person.xml" Id="R6e04f65bcc6044e7" /></Relationships>
</file>

<file path=xl/persons/person.xml><?xml version="1.0" encoding="utf-8"?>
<xltc:personList xmlns:xltc="http://schemas.microsoft.com/office/spreadsheetml/2018/threadedcomments">
  <xltc:person displayName="Configure to WIN" id="{1C83CEE4-7C6A-45F4-B5C3-74B9257CD1B6}"/>
</xltc:personList>
</file>

<file path=xl/tables/table1.xml><?xml version="1.0" encoding="utf-8"?>
<x:table xmlns:x="http://schemas.openxmlformats.org/spreadsheetml/2006/main" id="1" name="MeasurementLogTable" displayName="MeasurementLogTable" ref="A5:T105" headerRowCount="1">
  <x:autoFilter ref="A5:T105"/>
  <x:tableColumns count="20">
    <x:tableColumn id="1" name="Quote ID"/>
    <x:tableColumn id="2" name="Quote request received"/>
    <x:tableColumn id="3" name="Inputs complete"/>
    <x:tableColumn id="4" name="Commercial calculation complete"/>
    <x:tableColumn id="5" name="Validation complete"/>
    <x:tableColumn id="6" name="Approval submitted"/>
    <x:tableColumn id="7" name="Approval decided"/>
    <x:tableColumn id="8" name="Customer-ready output complete"/>
    <x:tableColumn id="9" name="Quote released"/>
    <x:tableColumn id="10" name="Number of rework loops"/>
    <x:tableColumn id="11" name="Rework duration (hours)"/>
    <x:tableColumn id="12" name="Primary delay reason"/>
    <x:tableColumn id="13" name="Notes"/>
    <x:tableColumn id="14" name="Preparation elapsed hours"/>
    <x:tableColumn id="15" name="Calculation elapsed hours"/>
    <x:tableColumn id="16" name="Validation elapsed hours"/>
    <x:tableColumn id="17" name="Approval waiting hours"/>
    <x:tableColumn id="18" name="Release preparation hours"/>
    <x:tableColumn id="19" name="Release lag hours"/>
    <x:tableColumn id="20" name="Total turnaround hours"/>
  </x:tableColumns>
  <x:tableStyleInfo name="TableStyleMedium2" showRowStripes="1"/>
</x:table>
</file>

<file path=xl/tables/table2.xml><?xml version="1.0" encoding="utf-8"?>
<x:table xmlns:x="http://schemas.openxmlformats.org/spreadsheetml/2006/main" id="2" name="CalculatorInputsTable" displayName="CalculatorInputsTable" ref="A5:Y105" headerRowCount="1">
  <x:autoFilter ref="A5:Y105"/>
  <x:tableColumns count="25">
    <x:tableColumn id="1" name="Quote ID"/>
    <x:tableColumn id="2" name="Measurement date"/>
    <x:tableColumn id="3" name="Time unit"/>
    <x:tableColumn id="4" name="Notes"/>
    <x:tableColumn id="5" name="Preparation — Active work time"/>
    <x:tableColumn id="6" name="Preparation — Waiting for complete inputs"/>
    <x:tableColumn id="7" name="Preparation — Rework caused by missing inputs"/>
    <x:tableColumn id="8" name="Commercial calculation — Active calculation time"/>
    <x:tableColumn id="9" name="Commercial calculation — Waiting for product, price or cost data"/>
    <x:tableColumn id="10" name="Commercial calculation — Recalculation or correction time"/>
    <x:tableColumn id="11" name="Validation — Active validation time"/>
    <x:tableColumn id="12" name="Validation — Waiting for clarification"/>
    <x:tableColumn id="13" name="Validation — Time spent correcting validation issues"/>
    <x:tableColumn id="14" name="Approval — Approval preparation time"/>
    <x:tableColumn id="15" name="Approval — Waiting for an approval decision"/>
    <x:tableColumn id="16" name="Approval — Rework after approver feedback"/>
    <x:tableColumn id="17" name="Customer-ready release — Final document or output preparation"/>
    <x:tableColumn id="18" name="Customer-ready release — Final checks"/>
    <x:tableColumn id="19" name="Customer-ready release — Delay between approval and customer release"/>
    <x:tableColumn id="20" name="Active processing time"/>
    <x:tableColumn id="21" name="Waiting time"/>
    <x:tableColumn id="22" name="Rework time"/>
    <x:tableColumn id="23" name="Release lag"/>
    <x:tableColumn id="24" name="Total turnaround time"/>
    <x:tableColumn id="25" name="Largest bottleneck"/>
  </x:tableColumns>
  <x:tableStyleInfo name="TableStyleMedium2" showRowStripes="1"/>
</x:table>
</file>

<file path=xl/theme/theme1.xml><?xml version="1.0" encoding="utf-8"?>
<a:theme xmlns:a="http://schemas.openxmlformats.org/drawingml/2006/main" name="Configure to WIN">
  <a:themeElements>
    <a:clrScheme name="Configure to WIN">
      <a:dk1>
        <a:srgbClr val="0B0F1F"/>
      </a:dk1>
      <a:lt1>
        <a:srgbClr val="FFFFFF"/>
      </a:lt1>
      <a:dk2>
        <a:srgbClr val="1B2440"/>
      </a:dk2>
      <a:lt2>
        <a:srgbClr val="F8FAFC"/>
      </a:lt2>
      <a:accent1>
        <a:srgbClr val="5B21B6"/>
      </a:accent1>
      <a:accent2>
        <a:srgbClr val="06B6D4"/>
      </a:accent2>
      <a:accent3>
        <a:srgbClr val="A3E635"/>
      </a:accent3>
      <a:accent4>
        <a:srgbClr val="0B0F1F"/>
      </a:accent4>
      <a:accent5>
        <a:srgbClr val="1B2440"/>
      </a:accent5>
      <a:accent6>
        <a:srgbClr val="7C3AED"/>
      </a:accent6>
      <a:hlink>
        <a:srgbClr val="5B21B6"/>
      </a:hlink>
      <a:folHlink>
        <a:srgbClr val="7E22CE"/>
      </a:folHlink>
    </a:clrScheme>
    <a:fontScheme name="Office">
      <a:majorFont>
        <a:latin typeface="Calibri"/>
        <a:ea typeface="Calibri"/>
        <a:cs typeface="Calibri"/>
      </a:majorFont>
      <a:minorFont>
        <a:latin typeface="Calibri"/>
        <a:ea typeface="Calibri"/>
        <a:cs typeface="Calibri"/>
      </a:minorFont>
    </a:fontScheme>
    <a:fmtScheme name="Configure to WIN">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C5" dT="2026-07-22T11:13:57.733" personId="{1C83CEE4-7C6A-45F4-B5C3-74B9257CD1B6}" id="{4E8939E5-9B3D-CFFB-6CE4-46E6020874F9}">
    <xltc:text>Time unit guidance:
• Minutes means elapsed minutes.
• Hours means elapsed hours.
• Business days uses eight hours per business day.
• Use one time unit for every duration in the same row.</xltc:text>
  </xltc:threadedComment>
  <xltc:threadedComment ref="E5" dT="2026-07-22T11:13:57.737" personId="{1C83CEE4-7C6A-45F4-B5C3-74B9257CD1B6}" id="{94F597A1-77D2-BAA3-B9D2-3CC405860262}">
    <xltc:text>All fifteen duration inputs in a row must use the time unit selected in column C.</xltc:text>
  </xltc:threadedComment>
</xltc:ThreadedComments>
</file>

<file path=xl/worksheets/_rels/sheet1.xml.rels>&#65279;<?xml version="1.0" encoding="utf-8"?><Relationships xmlns="http://schemas.openxmlformats.org/package/2006/relationships"><Relationship Type="http://schemas.openxmlformats.org/officeDocument/2006/relationships/table" Target="/xl/tables/table1.xml" Id="R17354bbd4d4d4589" /></Relationships>
</file>

<file path=xl/worksheets/_rels/sheet2.xml.rels>&#65279;<?xml version="1.0" encoding="utf-8"?><Relationships xmlns="http://schemas.openxmlformats.org/package/2006/relationships"><Relationship Type="http://schemas.openxmlformats.org/officeDocument/2006/relationships/comments" Target="/xl/comments1.xml" Id="Re1cfacb08f5f43b4" /><Relationship Type="http://schemas.openxmlformats.org/officeDocument/2006/relationships/vmlDrawing" Target="/xl/drawings/vmldrawing.vml" Id="R496d2bf1f5874a0b" /><Relationship Type="http://schemas.microsoft.com/office/2017/10/relationships/threadedComment" Target="/xl/threadedcomments/threadedcomment.xml" Id="R2e7a23cb3d384d30" /><Relationship Type="http://schemas.openxmlformats.org/officeDocument/2006/relationships/table" Target="/xl/tables/table2.xml" Id="R3ae0b84fb740456f"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20" hidden="0" customWidth="1"/>
    <x:col min="3" max="3" width="18" hidden="0" customWidth="1"/>
    <x:col min="4" max="4" width="22" hidden="0" customWidth="1"/>
    <x:col min="5" max="5" width="18" hidden="0" customWidth="1"/>
    <x:col min="6" max="6" width="18" hidden="0" customWidth="1"/>
    <x:col min="7" max="7" width="18" hidden="0" customWidth="1"/>
    <x:col min="8" max="8" width="23" hidden="0" customWidth="1"/>
    <x:col min="9" max="9" width="18" hidden="0" customWidth="1"/>
    <x:col min="10" max="10" width="14" hidden="0" customWidth="1"/>
    <x:col min="11" max="11" width="17" hidden="0" customWidth="1"/>
    <x:col min="12" max="12" width="24" hidden="0" customWidth="1"/>
    <x:col min="13" max="13" width="34" hidden="0" customWidth="1"/>
    <x:col min="14" max="14" width="17" hidden="0" customWidth="1"/>
    <x:col min="15" max="15" width="17" hidden="0" customWidth="1"/>
    <x:col min="16" max="16" width="17" hidden="0" customWidth="1"/>
    <x:col min="17" max="17" width="17" hidden="0" customWidth="1"/>
    <x:col min="18" max="18" width="18" hidden="0" customWidth="1"/>
    <x:col min="19" max="19" width="16" hidden="0" customWidth="1"/>
    <x:col min="20" max="20" width="18" hidden="0" customWidth="1"/>
  </x:cols>
  <x:sheetData>
    <x:row r="1" ht="30" customHeight="1">
      <x:c r="A1" s="173" t="str">
        <x:v>Configure to WIN | Quote Turnaround Time Measurement Log</x:v>
      </x:c>
      <x:c r="B1" s="173"/>
      <x:c r="C1" s="173"/>
      <x:c r="D1" s="173"/>
      <x:c r="E1" s="173"/>
      <x:c r="F1" s="173"/>
      <x:c r="G1" s="173"/>
      <x:c r="H1" s="173"/>
      <x:c r="I1" s="173"/>
      <x:c r="J1" s="173"/>
      <x:c r="K1" s="173"/>
      <x:c r="L1" s="173"/>
      <x:c r="M1" s="173"/>
      <x:c r="N1" s="173"/>
      <x:c r="O1" s="173"/>
      <x:c r="P1" s="173"/>
      <x:c r="Q1" s="173"/>
      <x:c r="R1" s="173"/>
      <x:c r="S1" s="173"/>
      <x:c r="T1" s="173"/>
    </x:row>
    <x:row r="2" ht="24" customHeight="1">
      <x:c r="A2" s="174" t="str">
        <x:v>Track quote milestones, elapsed stage durations, rework and primary delay reasons across a sample of quotes.</x:v>
      </x:c>
      <x:c r="B2" s="174"/>
      <x:c r="C2" s="174"/>
      <x:c r="D2" s="174"/>
      <x:c r="E2" s="174"/>
      <x:c r="F2" s="174"/>
      <x:c r="G2" s="174"/>
      <x:c r="H2" s="174"/>
      <x:c r="I2" s="174"/>
      <x:c r="J2" s="174"/>
      <x:c r="K2" s="174"/>
      <x:c r="L2" s="174"/>
      <x:c r="M2" s="174"/>
      <x:c r="N2" s="174"/>
      <x:c r="O2" s="174"/>
      <x:c r="P2" s="174"/>
      <x:c r="Q2" s="174"/>
      <x:c r="R2" s="174"/>
      <x:c r="S2" s="174"/>
      <x:c r="T2" s="174"/>
    </x:row>
    <x:row r="3" ht="30" customHeight="1">
      <x:c r="A3" s="175" t="str">
        <x:v>Enter timestamps in chronological order. Calculated durations use elapsed clock time and are displayed in hours.</x:v>
      </x:c>
      <x:c r="B3" s="175"/>
      <x:c r="C3" s="175"/>
      <x:c r="D3" s="175"/>
      <x:c r="E3" s="175"/>
      <x:c r="F3" s="175"/>
      <x:c r="G3" s="175"/>
      <x:c r="H3" s="175"/>
      <x:c r="I3" s="175"/>
      <x:c r="J3" s="175"/>
      <x:c r="K3" s="175"/>
      <x:c r="L3" s="175"/>
      <x:c r="M3" s="175"/>
      <x:c r="N3" s="175"/>
      <x:c r="O3" s="175"/>
      <x:c r="P3" s="175"/>
      <x:c r="Q3" s="175"/>
      <x:c r="R3" s="175"/>
      <x:c r="S3" s="175"/>
      <x:c r="T3" s="175"/>
    </x:row>
    <x:row r="4">
      <x:c r="A4" s="170"/>
      <x:c r="B4" s="170"/>
      <x:c r="C4" s="170"/>
      <x:c r="D4" s="170"/>
      <x:c r="E4" s="170"/>
      <x:c r="F4" s="170"/>
      <x:c r="G4" s="170"/>
      <x:c r="H4" s="170"/>
      <x:c r="I4" s="170"/>
      <x:c r="J4" s="170"/>
      <x:c r="K4" s="170"/>
      <x:c r="L4" s="170"/>
      <x:c r="M4" s="170"/>
      <x:c r="N4" s="170"/>
      <x:c r="O4" s="170"/>
      <x:c r="P4" s="170"/>
      <x:c r="Q4" s="170"/>
      <x:c r="R4" s="170"/>
      <x:c r="S4" s="170"/>
      <x:c r="T4" s="170"/>
    </x:row>
    <x:row r="5" ht="58" customHeight="1">
      <x:c r="A5" s="515" t="str">
        <x:v>Quote ID</x:v>
      </x:c>
      <x:c r="B5" s="515" t="str">
        <x:v>Quote request received</x:v>
      </x:c>
      <x:c r="C5" s="515" t="str">
        <x:v>Inputs complete</x:v>
      </x:c>
      <x:c r="D5" s="515" t="str">
        <x:v>Commercial calculation complete</x:v>
      </x:c>
      <x:c r="E5" s="515" t="str">
        <x:v>Validation complete</x:v>
      </x:c>
      <x:c r="F5" s="515" t="str">
        <x:v>Approval submitted</x:v>
      </x:c>
      <x:c r="G5" s="515" t="str">
        <x:v>Approval decided</x:v>
      </x:c>
      <x:c r="H5" s="515" t="str">
        <x:v>Customer-ready output complete</x:v>
      </x:c>
      <x:c r="I5" s="515" t="str">
        <x:v>Quote released</x:v>
      </x:c>
      <x:c r="J5" s="515" t="str">
        <x:v>Number of rework loops</x:v>
      </x:c>
      <x:c r="K5" s="515" t="str">
        <x:v>Rework duration (hours)</x:v>
      </x:c>
      <x:c r="L5" s="515" t="str">
        <x:v>Primary delay reason</x:v>
      </x:c>
      <x:c r="M5" s="515" t="str">
        <x:v>Notes</x:v>
      </x:c>
      <x:c r="N5" s="515" t="str">
        <x:v>Preparation elapsed hours</x:v>
      </x:c>
      <x:c r="O5" s="515" t="str">
        <x:v>Calculation elapsed hours</x:v>
      </x:c>
      <x:c r="P5" s="515" t="str">
        <x:v>Validation elapsed hours</x:v>
      </x:c>
      <x:c r="Q5" s="515" t="str">
        <x:v>Approval waiting hours</x:v>
      </x:c>
      <x:c r="R5" s="515" t="str">
        <x:v>Release preparation hours</x:v>
      </x:c>
      <x:c r="S5" s="515" t="str">
        <x:v>Release lag hours</x:v>
      </x:c>
      <x:c r="T5" s="515" t="str">
        <x:v>Total turnaround hours</x:v>
      </x:c>
    </x:row>
    <x:row r="6" ht="20" customHeight="1">
      <x:c r="A6" s="516"/>
      <x:c r="B6" s="517"/>
      <x:c r="C6" s="517"/>
      <x:c r="D6" s="517"/>
      <x:c r="E6" s="517"/>
      <x:c r="F6" s="517"/>
      <x:c r="G6" s="517"/>
      <x:c r="H6" s="517"/>
      <x:c r="I6" s="517"/>
      <x:c r="J6" s="518"/>
      <x:c r="K6" s="519"/>
      <x:c r="L6" s="520"/>
      <x:c r="M6" s="520"/>
      <x:c r="N6" s="521" t="str">
        <x:f>IF(OR(B6="",C6=""),"",MAX(0,(C6-B6)*24))</x:f>
      </x:c>
      <x:c r="O6" s="521" t="str">
        <x:f>IF(OR(C6="",D6=""),"",MAX(0,(D6-C6)*24))</x:f>
      </x:c>
      <x:c r="P6" s="521" t="str">
        <x:f>IF(OR(D6="",E6=""),"",MAX(0,(E6-D6)*24))</x:f>
      </x:c>
      <x:c r="Q6" s="521" t="str">
        <x:f>IF(OR(F6="",G6=""),"",MAX(0,(G6-F6)*24))</x:f>
      </x:c>
      <x:c r="R6" s="521" t="str">
        <x:f>IF(OR(G6="",H6=""),"",MAX(0,(H6-G6)*24))</x:f>
      </x:c>
      <x:c r="S6" s="521" t="str">
        <x:f>IF(OR(H6="",I6=""),"",MAX(0,(I6-H6)*24))</x:f>
      </x:c>
      <x:c r="T6" s="521" t="str">
        <x:f>IF(OR(B6="",I6=""),"",MAX(0,(I6-B6)*24))</x:f>
      </x:c>
    </x:row>
    <x:row r="7" ht="20" customHeight="1">
      <x:c r="A7" s="516"/>
      <x:c r="B7" s="517"/>
      <x:c r="C7" s="517"/>
      <x:c r="D7" s="517"/>
      <x:c r="E7" s="517"/>
      <x:c r="F7" s="517"/>
      <x:c r="G7" s="517"/>
      <x:c r="H7" s="517"/>
      <x:c r="I7" s="517"/>
      <x:c r="J7" s="518"/>
      <x:c r="K7" s="519"/>
      <x:c r="L7" s="520"/>
      <x:c r="M7" s="520"/>
      <x:c r="N7" s="521" t="str">
        <x:f>IF(OR(B7="",C7=""),"",MAX(0,(C7-B7)*24))</x:f>
      </x:c>
      <x:c r="O7" s="521" t="str">
        <x:f>IF(OR(C7="",D7=""),"",MAX(0,(D7-C7)*24))</x:f>
      </x:c>
      <x:c r="P7" s="521" t="str">
        <x:f>IF(OR(D7="",E7=""),"",MAX(0,(E7-D7)*24))</x:f>
      </x:c>
      <x:c r="Q7" s="521" t="str">
        <x:f>IF(OR(F7="",G7=""),"",MAX(0,(G7-F7)*24))</x:f>
      </x:c>
      <x:c r="R7" s="521" t="str">
        <x:f>IF(OR(G7="",H7=""),"",MAX(0,(H7-G7)*24))</x:f>
      </x:c>
      <x:c r="S7" s="521" t="str">
        <x:f>IF(OR(H7="",I7=""),"",MAX(0,(I7-H7)*24))</x:f>
      </x:c>
      <x:c r="T7" s="521" t="str">
        <x:f>IF(OR(B7="",I7=""),"",MAX(0,(I7-B7)*24))</x:f>
      </x:c>
    </x:row>
    <x:row r="8" ht="20" customHeight="1">
      <x:c r="A8" s="516"/>
      <x:c r="B8" s="517"/>
      <x:c r="C8" s="517"/>
      <x:c r="D8" s="517"/>
      <x:c r="E8" s="517"/>
      <x:c r="F8" s="517"/>
      <x:c r="G8" s="517"/>
      <x:c r="H8" s="517"/>
      <x:c r="I8" s="517"/>
      <x:c r="J8" s="518"/>
      <x:c r="K8" s="519"/>
      <x:c r="L8" s="520"/>
      <x:c r="M8" s="520"/>
      <x:c r="N8" s="521" t="str">
        <x:f>IF(OR(B8="",C8=""),"",MAX(0,(C8-B8)*24))</x:f>
      </x:c>
      <x:c r="O8" s="521" t="str">
        <x:f>IF(OR(C8="",D8=""),"",MAX(0,(D8-C8)*24))</x:f>
      </x:c>
      <x:c r="P8" s="521" t="str">
        <x:f>IF(OR(D8="",E8=""),"",MAX(0,(E8-D8)*24))</x:f>
      </x:c>
      <x:c r="Q8" s="521" t="str">
        <x:f>IF(OR(F8="",G8=""),"",MAX(0,(G8-F8)*24))</x:f>
      </x:c>
      <x:c r="R8" s="521" t="str">
        <x:f>IF(OR(G8="",H8=""),"",MAX(0,(H8-G8)*24))</x:f>
      </x:c>
      <x:c r="S8" s="521" t="str">
        <x:f>IF(OR(H8="",I8=""),"",MAX(0,(I8-H8)*24))</x:f>
      </x:c>
      <x:c r="T8" s="521" t="str">
        <x:f>IF(OR(B8="",I8=""),"",MAX(0,(I8-B8)*24))</x:f>
      </x:c>
    </x:row>
    <x:row r="9" ht="20" customHeight="1">
      <x:c r="A9" s="516"/>
      <x:c r="B9" s="517"/>
      <x:c r="C9" s="517"/>
      <x:c r="D9" s="517"/>
      <x:c r="E9" s="517"/>
      <x:c r="F9" s="517"/>
      <x:c r="G9" s="517"/>
      <x:c r="H9" s="517"/>
      <x:c r="I9" s="517"/>
      <x:c r="J9" s="518"/>
      <x:c r="K9" s="519"/>
      <x:c r="L9" s="520"/>
      <x:c r="M9" s="520"/>
      <x:c r="N9" s="521" t="str">
        <x:f>IF(OR(B9="",C9=""),"",MAX(0,(C9-B9)*24))</x:f>
      </x:c>
      <x:c r="O9" s="521" t="str">
        <x:f>IF(OR(C9="",D9=""),"",MAX(0,(D9-C9)*24))</x:f>
      </x:c>
      <x:c r="P9" s="521" t="str">
        <x:f>IF(OR(D9="",E9=""),"",MAX(0,(E9-D9)*24))</x:f>
      </x:c>
      <x:c r="Q9" s="521" t="str">
        <x:f>IF(OR(F9="",G9=""),"",MAX(0,(G9-F9)*24))</x:f>
      </x:c>
      <x:c r="R9" s="521" t="str">
        <x:f>IF(OR(G9="",H9=""),"",MAX(0,(H9-G9)*24))</x:f>
      </x:c>
      <x:c r="S9" s="521" t="str">
        <x:f>IF(OR(H9="",I9=""),"",MAX(0,(I9-H9)*24))</x:f>
      </x:c>
      <x:c r="T9" s="521" t="str">
        <x:f>IF(OR(B9="",I9=""),"",MAX(0,(I9-B9)*24))</x:f>
      </x:c>
    </x:row>
    <x:row r="10" ht="20" customHeight="1">
      <x:c r="A10" s="516"/>
      <x:c r="B10" s="517"/>
      <x:c r="C10" s="517"/>
      <x:c r="D10" s="517"/>
      <x:c r="E10" s="517"/>
      <x:c r="F10" s="517"/>
      <x:c r="G10" s="517"/>
      <x:c r="H10" s="517"/>
      <x:c r="I10" s="517"/>
      <x:c r="J10" s="518"/>
      <x:c r="K10" s="519"/>
      <x:c r="L10" s="520"/>
      <x:c r="M10" s="520"/>
      <x:c r="N10" s="521" t="str">
        <x:f>IF(OR(B10="",C10=""),"",MAX(0,(C10-B10)*24))</x:f>
      </x:c>
      <x:c r="O10" s="521" t="str">
        <x:f>IF(OR(C10="",D10=""),"",MAX(0,(D10-C10)*24))</x:f>
      </x:c>
      <x:c r="P10" s="521" t="str">
        <x:f>IF(OR(D10="",E10=""),"",MAX(0,(E10-D10)*24))</x:f>
      </x:c>
      <x:c r="Q10" s="521" t="str">
        <x:f>IF(OR(F10="",G10=""),"",MAX(0,(G10-F10)*24))</x:f>
      </x:c>
      <x:c r="R10" s="521" t="str">
        <x:f>IF(OR(G10="",H10=""),"",MAX(0,(H10-G10)*24))</x:f>
      </x:c>
      <x:c r="S10" s="521" t="str">
        <x:f>IF(OR(H10="",I10=""),"",MAX(0,(I10-H10)*24))</x:f>
      </x:c>
      <x:c r="T10" s="521" t="str">
        <x:f>IF(OR(B10="",I10=""),"",MAX(0,(I10-B10)*24))</x:f>
      </x:c>
    </x:row>
    <x:row r="11" ht="20" customHeight="1">
      <x:c r="A11" s="516"/>
      <x:c r="B11" s="517"/>
      <x:c r="C11" s="517"/>
      <x:c r="D11" s="517"/>
      <x:c r="E11" s="517"/>
      <x:c r="F11" s="517"/>
      <x:c r="G11" s="517"/>
      <x:c r="H11" s="517"/>
      <x:c r="I11" s="517"/>
      <x:c r="J11" s="518"/>
      <x:c r="K11" s="519"/>
      <x:c r="L11" s="520"/>
      <x:c r="M11" s="520"/>
      <x:c r="N11" s="521" t="str">
        <x:f>IF(OR(B11="",C11=""),"",MAX(0,(C11-B11)*24))</x:f>
      </x:c>
      <x:c r="O11" s="521" t="str">
        <x:f>IF(OR(C11="",D11=""),"",MAX(0,(D11-C11)*24))</x:f>
      </x:c>
      <x:c r="P11" s="521" t="str">
        <x:f>IF(OR(D11="",E11=""),"",MAX(0,(E11-D11)*24))</x:f>
      </x:c>
      <x:c r="Q11" s="521" t="str">
        <x:f>IF(OR(F11="",G11=""),"",MAX(0,(G11-F11)*24))</x:f>
      </x:c>
      <x:c r="R11" s="521" t="str">
        <x:f>IF(OR(G11="",H11=""),"",MAX(0,(H11-G11)*24))</x:f>
      </x:c>
      <x:c r="S11" s="521" t="str">
        <x:f>IF(OR(H11="",I11=""),"",MAX(0,(I11-H11)*24))</x:f>
      </x:c>
      <x:c r="T11" s="521" t="str">
        <x:f>IF(OR(B11="",I11=""),"",MAX(0,(I11-B11)*24))</x:f>
      </x:c>
    </x:row>
    <x:row r="12" ht="20" customHeight="1">
      <x:c r="A12" s="516"/>
      <x:c r="B12" s="517"/>
      <x:c r="C12" s="517"/>
      <x:c r="D12" s="517"/>
      <x:c r="E12" s="517"/>
      <x:c r="F12" s="517"/>
      <x:c r="G12" s="517"/>
      <x:c r="H12" s="517"/>
      <x:c r="I12" s="517"/>
      <x:c r="J12" s="518"/>
      <x:c r="K12" s="519"/>
      <x:c r="L12" s="520"/>
      <x:c r="M12" s="520"/>
      <x:c r="N12" s="521" t="str">
        <x:f>IF(OR(B12="",C12=""),"",MAX(0,(C12-B12)*24))</x:f>
      </x:c>
      <x:c r="O12" s="521" t="str">
        <x:f>IF(OR(C12="",D12=""),"",MAX(0,(D12-C12)*24))</x:f>
      </x:c>
      <x:c r="P12" s="521" t="str">
        <x:f>IF(OR(D12="",E12=""),"",MAX(0,(E12-D12)*24))</x:f>
      </x:c>
      <x:c r="Q12" s="521" t="str">
        <x:f>IF(OR(F12="",G12=""),"",MAX(0,(G12-F12)*24))</x:f>
      </x:c>
      <x:c r="R12" s="521" t="str">
        <x:f>IF(OR(G12="",H12=""),"",MAX(0,(H12-G12)*24))</x:f>
      </x:c>
      <x:c r="S12" s="521" t="str">
        <x:f>IF(OR(H12="",I12=""),"",MAX(0,(I12-H12)*24))</x:f>
      </x:c>
      <x:c r="T12" s="521" t="str">
        <x:f>IF(OR(B12="",I12=""),"",MAX(0,(I12-B12)*24))</x:f>
      </x:c>
    </x:row>
    <x:row r="13" ht="20" customHeight="1">
      <x:c r="A13" s="516"/>
      <x:c r="B13" s="517"/>
      <x:c r="C13" s="517"/>
      <x:c r="D13" s="517"/>
      <x:c r="E13" s="517"/>
      <x:c r="F13" s="517"/>
      <x:c r="G13" s="517"/>
      <x:c r="H13" s="517"/>
      <x:c r="I13" s="517"/>
      <x:c r="J13" s="518"/>
      <x:c r="K13" s="519"/>
      <x:c r="L13" s="520"/>
      <x:c r="M13" s="520"/>
      <x:c r="N13" s="521" t="str">
        <x:f>IF(OR(B13="",C13=""),"",MAX(0,(C13-B13)*24))</x:f>
      </x:c>
      <x:c r="O13" s="521" t="str">
        <x:f>IF(OR(C13="",D13=""),"",MAX(0,(D13-C13)*24))</x:f>
      </x:c>
      <x:c r="P13" s="521" t="str">
        <x:f>IF(OR(D13="",E13=""),"",MAX(0,(E13-D13)*24))</x:f>
      </x:c>
      <x:c r="Q13" s="521" t="str">
        <x:f>IF(OR(F13="",G13=""),"",MAX(0,(G13-F13)*24))</x:f>
      </x:c>
      <x:c r="R13" s="521" t="str">
        <x:f>IF(OR(G13="",H13=""),"",MAX(0,(H13-G13)*24))</x:f>
      </x:c>
      <x:c r="S13" s="521" t="str">
        <x:f>IF(OR(H13="",I13=""),"",MAX(0,(I13-H13)*24))</x:f>
      </x:c>
      <x:c r="T13" s="521" t="str">
        <x:f>IF(OR(B13="",I13=""),"",MAX(0,(I13-B13)*24))</x:f>
      </x:c>
    </x:row>
    <x:row r="14" ht="20" customHeight="1">
      <x:c r="A14" s="516"/>
      <x:c r="B14" s="517"/>
      <x:c r="C14" s="517"/>
      <x:c r="D14" s="517"/>
      <x:c r="E14" s="517"/>
      <x:c r="F14" s="517"/>
      <x:c r="G14" s="517"/>
      <x:c r="H14" s="517"/>
      <x:c r="I14" s="517"/>
      <x:c r="J14" s="518"/>
      <x:c r="K14" s="519"/>
      <x:c r="L14" s="520"/>
      <x:c r="M14" s="520"/>
      <x:c r="N14" s="521" t="str">
        <x:f>IF(OR(B14="",C14=""),"",MAX(0,(C14-B14)*24))</x:f>
      </x:c>
      <x:c r="O14" s="521" t="str">
        <x:f>IF(OR(C14="",D14=""),"",MAX(0,(D14-C14)*24))</x:f>
      </x:c>
      <x:c r="P14" s="521" t="str">
        <x:f>IF(OR(D14="",E14=""),"",MAX(0,(E14-D14)*24))</x:f>
      </x:c>
      <x:c r="Q14" s="521" t="str">
        <x:f>IF(OR(F14="",G14=""),"",MAX(0,(G14-F14)*24))</x:f>
      </x:c>
      <x:c r="R14" s="521" t="str">
        <x:f>IF(OR(G14="",H14=""),"",MAX(0,(H14-G14)*24))</x:f>
      </x:c>
      <x:c r="S14" s="521" t="str">
        <x:f>IF(OR(H14="",I14=""),"",MAX(0,(I14-H14)*24))</x:f>
      </x:c>
      <x:c r="T14" s="521" t="str">
        <x:f>IF(OR(B14="",I14=""),"",MAX(0,(I14-B14)*24))</x:f>
      </x:c>
    </x:row>
    <x:row r="15" ht="20" customHeight="1">
      <x:c r="A15" s="516"/>
      <x:c r="B15" s="517"/>
      <x:c r="C15" s="517"/>
      <x:c r="D15" s="517"/>
      <x:c r="E15" s="517"/>
      <x:c r="F15" s="517"/>
      <x:c r="G15" s="517"/>
      <x:c r="H15" s="517"/>
      <x:c r="I15" s="517"/>
      <x:c r="J15" s="518"/>
      <x:c r="K15" s="519"/>
      <x:c r="L15" s="520"/>
      <x:c r="M15" s="520"/>
      <x:c r="N15" s="521" t="str">
        <x:f>IF(OR(B15="",C15=""),"",MAX(0,(C15-B15)*24))</x:f>
      </x:c>
      <x:c r="O15" s="521" t="str">
        <x:f>IF(OR(C15="",D15=""),"",MAX(0,(D15-C15)*24))</x:f>
      </x:c>
      <x:c r="P15" s="521" t="str">
        <x:f>IF(OR(D15="",E15=""),"",MAX(0,(E15-D15)*24))</x:f>
      </x:c>
      <x:c r="Q15" s="521" t="str">
        <x:f>IF(OR(F15="",G15=""),"",MAX(0,(G15-F15)*24))</x:f>
      </x:c>
      <x:c r="R15" s="521" t="str">
        <x:f>IF(OR(G15="",H15=""),"",MAX(0,(H15-G15)*24))</x:f>
      </x:c>
      <x:c r="S15" s="521" t="str">
        <x:f>IF(OR(H15="",I15=""),"",MAX(0,(I15-H15)*24))</x:f>
      </x:c>
      <x:c r="T15" s="521" t="str">
        <x:f>IF(OR(B15="",I15=""),"",MAX(0,(I15-B15)*24))</x:f>
      </x:c>
    </x:row>
    <x:row r="16" ht="20" customHeight="1">
      <x:c r="A16" s="516"/>
      <x:c r="B16" s="517"/>
      <x:c r="C16" s="517"/>
      <x:c r="D16" s="517"/>
      <x:c r="E16" s="517"/>
      <x:c r="F16" s="517"/>
      <x:c r="G16" s="517"/>
      <x:c r="H16" s="517"/>
      <x:c r="I16" s="517"/>
      <x:c r="J16" s="518"/>
      <x:c r="K16" s="519"/>
      <x:c r="L16" s="520"/>
      <x:c r="M16" s="520"/>
      <x:c r="N16" s="521" t="str">
        <x:f>IF(OR(B16="",C16=""),"",MAX(0,(C16-B16)*24))</x:f>
      </x:c>
      <x:c r="O16" s="521" t="str">
        <x:f>IF(OR(C16="",D16=""),"",MAX(0,(D16-C16)*24))</x:f>
      </x:c>
      <x:c r="P16" s="521" t="str">
        <x:f>IF(OR(D16="",E16=""),"",MAX(0,(E16-D16)*24))</x:f>
      </x:c>
      <x:c r="Q16" s="521" t="str">
        <x:f>IF(OR(F16="",G16=""),"",MAX(0,(G16-F16)*24))</x:f>
      </x:c>
      <x:c r="R16" s="521" t="str">
        <x:f>IF(OR(G16="",H16=""),"",MAX(0,(H16-G16)*24))</x:f>
      </x:c>
      <x:c r="S16" s="521" t="str">
        <x:f>IF(OR(H16="",I16=""),"",MAX(0,(I16-H16)*24))</x:f>
      </x:c>
      <x:c r="T16" s="521" t="str">
        <x:f>IF(OR(B16="",I16=""),"",MAX(0,(I16-B16)*24))</x:f>
      </x:c>
    </x:row>
    <x:row r="17" ht="20" customHeight="1">
      <x:c r="A17" s="516"/>
      <x:c r="B17" s="517"/>
      <x:c r="C17" s="517"/>
      <x:c r="D17" s="517"/>
      <x:c r="E17" s="517"/>
      <x:c r="F17" s="517"/>
      <x:c r="G17" s="517"/>
      <x:c r="H17" s="517"/>
      <x:c r="I17" s="517"/>
      <x:c r="J17" s="518"/>
      <x:c r="K17" s="519"/>
      <x:c r="L17" s="520"/>
      <x:c r="M17" s="520"/>
      <x:c r="N17" s="521" t="str">
        <x:f>IF(OR(B17="",C17=""),"",MAX(0,(C17-B17)*24))</x:f>
      </x:c>
      <x:c r="O17" s="521" t="str">
        <x:f>IF(OR(C17="",D17=""),"",MAX(0,(D17-C17)*24))</x:f>
      </x:c>
      <x:c r="P17" s="521" t="str">
        <x:f>IF(OR(D17="",E17=""),"",MAX(0,(E17-D17)*24))</x:f>
      </x:c>
      <x:c r="Q17" s="521" t="str">
        <x:f>IF(OR(F17="",G17=""),"",MAX(0,(G17-F17)*24))</x:f>
      </x:c>
      <x:c r="R17" s="521" t="str">
        <x:f>IF(OR(G17="",H17=""),"",MAX(0,(H17-G17)*24))</x:f>
      </x:c>
      <x:c r="S17" s="521" t="str">
        <x:f>IF(OR(H17="",I17=""),"",MAX(0,(I17-H17)*24))</x:f>
      </x:c>
      <x:c r="T17" s="521" t="str">
        <x:f>IF(OR(B17="",I17=""),"",MAX(0,(I17-B17)*24))</x:f>
      </x:c>
    </x:row>
    <x:row r="18" ht="20" customHeight="1">
      <x:c r="A18" s="516"/>
      <x:c r="B18" s="517"/>
      <x:c r="C18" s="517"/>
      <x:c r="D18" s="517"/>
      <x:c r="E18" s="517"/>
      <x:c r="F18" s="517"/>
      <x:c r="G18" s="517"/>
      <x:c r="H18" s="517"/>
      <x:c r="I18" s="517"/>
      <x:c r="J18" s="518"/>
      <x:c r="K18" s="519"/>
      <x:c r="L18" s="520"/>
      <x:c r="M18" s="520"/>
      <x:c r="N18" s="521" t="str">
        <x:f>IF(OR(B18="",C18=""),"",MAX(0,(C18-B18)*24))</x:f>
      </x:c>
      <x:c r="O18" s="521" t="str">
        <x:f>IF(OR(C18="",D18=""),"",MAX(0,(D18-C18)*24))</x:f>
      </x:c>
      <x:c r="P18" s="521" t="str">
        <x:f>IF(OR(D18="",E18=""),"",MAX(0,(E18-D18)*24))</x:f>
      </x:c>
      <x:c r="Q18" s="521" t="str">
        <x:f>IF(OR(F18="",G18=""),"",MAX(0,(G18-F18)*24))</x:f>
      </x:c>
      <x:c r="R18" s="521" t="str">
        <x:f>IF(OR(G18="",H18=""),"",MAX(0,(H18-G18)*24))</x:f>
      </x:c>
      <x:c r="S18" s="521" t="str">
        <x:f>IF(OR(H18="",I18=""),"",MAX(0,(I18-H18)*24))</x:f>
      </x:c>
      <x:c r="T18" s="521" t="str">
        <x:f>IF(OR(B18="",I18=""),"",MAX(0,(I18-B18)*24))</x:f>
      </x:c>
    </x:row>
    <x:row r="19" ht="20" customHeight="1">
      <x:c r="A19" s="516"/>
      <x:c r="B19" s="517"/>
      <x:c r="C19" s="517"/>
      <x:c r="D19" s="517"/>
      <x:c r="E19" s="517"/>
      <x:c r="F19" s="517"/>
      <x:c r="G19" s="517"/>
      <x:c r="H19" s="517"/>
      <x:c r="I19" s="517"/>
      <x:c r="J19" s="518"/>
      <x:c r="K19" s="519"/>
      <x:c r="L19" s="520"/>
      <x:c r="M19" s="520"/>
      <x:c r="N19" s="521" t="str">
        <x:f>IF(OR(B19="",C19=""),"",MAX(0,(C19-B19)*24))</x:f>
      </x:c>
      <x:c r="O19" s="521" t="str">
        <x:f>IF(OR(C19="",D19=""),"",MAX(0,(D19-C19)*24))</x:f>
      </x:c>
      <x:c r="P19" s="521" t="str">
        <x:f>IF(OR(D19="",E19=""),"",MAX(0,(E19-D19)*24))</x:f>
      </x:c>
      <x:c r="Q19" s="521" t="str">
        <x:f>IF(OR(F19="",G19=""),"",MAX(0,(G19-F19)*24))</x:f>
      </x:c>
      <x:c r="R19" s="521" t="str">
        <x:f>IF(OR(G19="",H19=""),"",MAX(0,(H19-G19)*24))</x:f>
      </x:c>
      <x:c r="S19" s="521" t="str">
        <x:f>IF(OR(H19="",I19=""),"",MAX(0,(I19-H19)*24))</x:f>
      </x:c>
      <x:c r="T19" s="521" t="str">
        <x:f>IF(OR(B19="",I19=""),"",MAX(0,(I19-B19)*24))</x:f>
      </x:c>
    </x:row>
    <x:row r="20" ht="20" customHeight="1">
      <x:c r="A20" s="516"/>
      <x:c r="B20" s="517"/>
      <x:c r="C20" s="517"/>
      <x:c r="D20" s="517"/>
      <x:c r="E20" s="517"/>
      <x:c r="F20" s="517"/>
      <x:c r="G20" s="517"/>
      <x:c r="H20" s="517"/>
      <x:c r="I20" s="517"/>
      <x:c r="J20" s="518"/>
      <x:c r="K20" s="519"/>
      <x:c r="L20" s="520"/>
      <x:c r="M20" s="520"/>
      <x:c r="N20" s="521" t="str">
        <x:f>IF(OR(B20="",C20=""),"",MAX(0,(C20-B20)*24))</x:f>
      </x:c>
      <x:c r="O20" s="521" t="str">
        <x:f>IF(OR(C20="",D20=""),"",MAX(0,(D20-C20)*24))</x:f>
      </x:c>
      <x:c r="P20" s="521" t="str">
        <x:f>IF(OR(D20="",E20=""),"",MAX(0,(E20-D20)*24))</x:f>
      </x:c>
      <x:c r="Q20" s="521" t="str">
        <x:f>IF(OR(F20="",G20=""),"",MAX(0,(G20-F20)*24))</x:f>
      </x:c>
      <x:c r="R20" s="521" t="str">
        <x:f>IF(OR(G20="",H20=""),"",MAX(0,(H20-G20)*24))</x:f>
      </x:c>
      <x:c r="S20" s="521" t="str">
        <x:f>IF(OR(H20="",I20=""),"",MAX(0,(I20-H20)*24))</x:f>
      </x:c>
      <x:c r="T20" s="521" t="str">
        <x:f>IF(OR(B20="",I20=""),"",MAX(0,(I20-B20)*24))</x:f>
      </x:c>
    </x:row>
    <x:row r="21" ht="20" customHeight="1">
      <x:c r="A21" s="516"/>
      <x:c r="B21" s="517"/>
      <x:c r="C21" s="517"/>
      <x:c r="D21" s="517"/>
      <x:c r="E21" s="517"/>
      <x:c r="F21" s="517"/>
      <x:c r="G21" s="517"/>
      <x:c r="H21" s="517"/>
      <x:c r="I21" s="517"/>
      <x:c r="J21" s="518"/>
      <x:c r="K21" s="519"/>
      <x:c r="L21" s="520"/>
      <x:c r="M21" s="520"/>
      <x:c r="N21" s="521" t="str">
        <x:f>IF(OR(B21="",C21=""),"",MAX(0,(C21-B21)*24))</x:f>
      </x:c>
      <x:c r="O21" s="521" t="str">
        <x:f>IF(OR(C21="",D21=""),"",MAX(0,(D21-C21)*24))</x:f>
      </x:c>
      <x:c r="P21" s="521" t="str">
        <x:f>IF(OR(D21="",E21=""),"",MAX(0,(E21-D21)*24))</x:f>
      </x:c>
      <x:c r="Q21" s="521" t="str">
        <x:f>IF(OR(F21="",G21=""),"",MAX(0,(G21-F21)*24))</x:f>
      </x:c>
      <x:c r="R21" s="521" t="str">
        <x:f>IF(OR(G21="",H21=""),"",MAX(0,(H21-G21)*24))</x:f>
      </x:c>
      <x:c r="S21" s="521" t="str">
        <x:f>IF(OR(H21="",I21=""),"",MAX(0,(I21-H21)*24))</x:f>
      </x:c>
      <x:c r="T21" s="521" t="str">
        <x:f>IF(OR(B21="",I21=""),"",MAX(0,(I21-B21)*24))</x:f>
      </x:c>
    </x:row>
    <x:row r="22" ht="20" customHeight="1">
      <x:c r="A22" s="516"/>
      <x:c r="B22" s="517"/>
      <x:c r="C22" s="517"/>
      <x:c r="D22" s="517"/>
      <x:c r="E22" s="517"/>
      <x:c r="F22" s="517"/>
      <x:c r="G22" s="517"/>
      <x:c r="H22" s="517"/>
      <x:c r="I22" s="517"/>
      <x:c r="J22" s="518"/>
      <x:c r="K22" s="519"/>
      <x:c r="L22" s="520"/>
      <x:c r="M22" s="520"/>
      <x:c r="N22" s="521" t="str">
        <x:f>IF(OR(B22="",C22=""),"",MAX(0,(C22-B22)*24))</x:f>
      </x:c>
      <x:c r="O22" s="521" t="str">
        <x:f>IF(OR(C22="",D22=""),"",MAX(0,(D22-C22)*24))</x:f>
      </x:c>
      <x:c r="P22" s="521" t="str">
        <x:f>IF(OR(D22="",E22=""),"",MAX(0,(E22-D22)*24))</x:f>
      </x:c>
      <x:c r="Q22" s="521" t="str">
        <x:f>IF(OR(F22="",G22=""),"",MAX(0,(G22-F22)*24))</x:f>
      </x:c>
      <x:c r="R22" s="521" t="str">
        <x:f>IF(OR(G22="",H22=""),"",MAX(0,(H22-G22)*24))</x:f>
      </x:c>
      <x:c r="S22" s="521" t="str">
        <x:f>IF(OR(H22="",I22=""),"",MAX(0,(I22-H22)*24))</x:f>
      </x:c>
      <x:c r="T22" s="521" t="str">
        <x:f>IF(OR(B22="",I22=""),"",MAX(0,(I22-B22)*24))</x:f>
      </x:c>
    </x:row>
    <x:row r="23" ht="20" customHeight="1">
      <x:c r="A23" s="516"/>
      <x:c r="B23" s="517"/>
      <x:c r="C23" s="517"/>
      <x:c r="D23" s="517"/>
      <x:c r="E23" s="517"/>
      <x:c r="F23" s="517"/>
      <x:c r="G23" s="517"/>
      <x:c r="H23" s="517"/>
      <x:c r="I23" s="517"/>
      <x:c r="J23" s="518"/>
      <x:c r="K23" s="519"/>
      <x:c r="L23" s="520"/>
      <x:c r="M23" s="520"/>
      <x:c r="N23" s="521" t="str">
        <x:f>IF(OR(B23="",C23=""),"",MAX(0,(C23-B23)*24))</x:f>
      </x:c>
      <x:c r="O23" s="521" t="str">
        <x:f>IF(OR(C23="",D23=""),"",MAX(0,(D23-C23)*24))</x:f>
      </x:c>
      <x:c r="P23" s="521" t="str">
        <x:f>IF(OR(D23="",E23=""),"",MAX(0,(E23-D23)*24))</x:f>
      </x:c>
      <x:c r="Q23" s="521" t="str">
        <x:f>IF(OR(F23="",G23=""),"",MAX(0,(G23-F23)*24))</x:f>
      </x:c>
      <x:c r="R23" s="521" t="str">
        <x:f>IF(OR(G23="",H23=""),"",MAX(0,(H23-G23)*24))</x:f>
      </x:c>
      <x:c r="S23" s="521" t="str">
        <x:f>IF(OR(H23="",I23=""),"",MAX(0,(I23-H23)*24))</x:f>
      </x:c>
      <x:c r="T23" s="521" t="str">
        <x:f>IF(OR(B23="",I23=""),"",MAX(0,(I23-B23)*24))</x:f>
      </x:c>
    </x:row>
    <x:row r="24" ht="20" customHeight="1">
      <x:c r="A24" s="516"/>
      <x:c r="B24" s="517"/>
      <x:c r="C24" s="517"/>
      <x:c r="D24" s="517"/>
      <x:c r="E24" s="517"/>
      <x:c r="F24" s="517"/>
      <x:c r="G24" s="517"/>
      <x:c r="H24" s="517"/>
      <x:c r="I24" s="517"/>
      <x:c r="J24" s="518"/>
      <x:c r="K24" s="519"/>
      <x:c r="L24" s="520"/>
      <x:c r="M24" s="520"/>
      <x:c r="N24" s="521" t="str">
        <x:f>IF(OR(B24="",C24=""),"",MAX(0,(C24-B24)*24))</x:f>
      </x:c>
      <x:c r="O24" s="521" t="str">
        <x:f>IF(OR(C24="",D24=""),"",MAX(0,(D24-C24)*24))</x:f>
      </x:c>
      <x:c r="P24" s="521" t="str">
        <x:f>IF(OR(D24="",E24=""),"",MAX(0,(E24-D24)*24))</x:f>
      </x:c>
      <x:c r="Q24" s="521" t="str">
        <x:f>IF(OR(F24="",G24=""),"",MAX(0,(G24-F24)*24))</x:f>
      </x:c>
      <x:c r="R24" s="521" t="str">
        <x:f>IF(OR(G24="",H24=""),"",MAX(0,(H24-G24)*24))</x:f>
      </x:c>
      <x:c r="S24" s="521" t="str">
        <x:f>IF(OR(H24="",I24=""),"",MAX(0,(I24-H24)*24))</x:f>
      </x:c>
      <x:c r="T24" s="521" t="str">
        <x:f>IF(OR(B24="",I24=""),"",MAX(0,(I24-B24)*24))</x:f>
      </x:c>
    </x:row>
    <x:row r="25" ht="20" customHeight="1">
      <x:c r="A25" s="516"/>
      <x:c r="B25" s="517"/>
      <x:c r="C25" s="517"/>
      <x:c r="D25" s="517"/>
      <x:c r="E25" s="517"/>
      <x:c r="F25" s="517"/>
      <x:c r="G25" s="517"/>
      <x:c r="H25" s="517"/>
      <x:c r="I25" s="517"/>
      <x:c r="J25" s="518"/>
      <x:c r="K25" s="519"/>
      <x:c r="L25" s="520"/>
      <x:c r="M25" s="520"/>
      <x:c r="N25" s="521" t="str">
        <x:f>IF(OR(B25="",C25=""),"",MAX(0,(C25-B25)*24))</x:f>
      </x:c>
      <x:c r="O25" s="521" t="str">
        <x:f>IF(OR(C25="",D25=""),"",MAX(0,(D25-C25)*24))</x:f>
      </x:c>
      <x:c r="P25" s="521" t="str">
        <x:f>IF(OR(D25="",E25=""),"",MAX(0,(E25-D25)*24))</x:f>
      </x:c>
      <x:c r="Q25" s="521" t="str">
        <x:f>IF(OR(F25="",G25=""),"",MAX(0,(G25-F25)*24))</x:f>
      </x:c>
      <x:c r="R25" s="521" t="str">
        <x:f>IF(OR(G25="",H25=""),"",MAX(0,(H25-G25)*24))</x:f>
      </x:c>
      <x:c r="S25" s="521" t="str">
        <x:f>IF(OR(H25="",I25=""),"",MAX(0,(I25-H25)*24))</x:f>
      </x:c>
      <x:c r="T25" s="521" t="str">
        <x:f>IF(OR(B25="",I25=""),"",MAX(0,(I25-B25)*24))</x:f>
      </x:c>
    </x:row>
    <x:row r="26" ht="20" customHeight="1">
      <x:c r="A26" s="516"/>
      <x:c r="B26" s="517"/>
      <x:c r="C26" s="517"/>
      <x:c r="D26" s="517"/>
      <x:c r="E26" s="517"/>
      <x:c r="F26" s="517"/>
      <x:c r="G26" s="517"/>
      <x:c r="H26" s="517"/>
      <x:c r="I26" s="517"/>
      <x:c r="J26" s="518"/>
      <x:c r="K26" s="519"/>
      <x:c r="L26" s="520"/>
      <x:c r="M26" s="520"/>
      <x:c r="N26" s="521" t="str">
        <x:f>IF(OR(B26="",C26=""),"",MAX(0,(C26-B26)*24))</x:f>
      </x:c>
      <x:c r="O26" s="521" t="str">
        <x:f>IF(OR(C26="",D26=""),"",MAX(0,(D26-C26)*24))</x:f>
      </x:c>
      <x:c r="P26" s="521" t="str">
        <x:f>IF(OR(D26="",E26=""),"",MAX(0,(E26-D26)*24))</x:f>
      </x:c>
      <x:c r="Q26" s="521" t="str">
        <x:f>IF(OR(F26="",G26=""),"",MAX(0,(G26-F26)*24))</x:f>
      </x:c>
      <x:c r="R26" s="521" t="str">
        <x:f>IF(OR(G26="",H26=""),"",MAX(0,(H26-G26)*24))</x:f>
      </x:c>
      <x:c r="S26" s="521" t="str">
        <x:f>IF(OR(H26="",I26=""),"",MAX(0,(I26-H26)*24))</x:f>
      </x:c>
      <x:c r="T26" s="521" t="str">
        <x:f>IF(OR(B26="",I26=""),"",MAX(0,(I26-B26)*24))</x:f>
      </x:c>
    </x:row>
    <x:row r="27" ht="20" customHeight="1">
      <x:c r="A27" s="516"/>
      <x:c r="B27" s="517"/>
      <x:c r="C27" s="517"/>
      <x:c r="D27" s="517"/>
      <x:c r="E27" s="517"/>
      <x:c r="F27" s="517"/>
      <x:c r="G27" s="517"/>
      <x:c r="H27" s="517"/>
      <x:c r="I27" s="517"/>
      <x:c r="J27" s="518"/>
      <x:c r="K27" s="519"/>
      <x:c r="L27" s="520"/>
      <x:c r="M27" s="520"/>
      <x:c r="N27" s="521" t="str">
        <x:f>IF(OR(B27="",C27=""),"",MAX(0,(C27-B27)*24))</x:f>
      </x:c>
      <x:c r="O27" s="521" t="str">
        <x:f>IF(OR(C27="",D27=""),"",MAX(0,(D27-C27)*24))</x:f>
      </x:c>
      <x:c r="P27" s="521" t="str">
        <x:f>IF(OR(D27="",E27=""),"",MAX(0,(E27-D27)*24))</x:f>
      </x:c>
      <x:c r="Q27" s="521" t="str">
        <x:f>IF(OR(F27="",G27=""),"",MAX(0,(G27-F27)*24))</x:f>
      </x:c>
      <x:c r="R27" s="521" t="str">
        <x:f>IF(OR(G27="",H27=""),"",MAX(0,(H27-G27)*24))</x:f>
      </x:c>
      <x:c r="S27" s="521" t="str">
        <x:f>IF(OR(H27="",I27=""),"",MAX(0,(I27-H27)*24))</x:f>
      </x:c>
      <x:c r="T27" s="521" t="str">
        <x:f>IF(OR(B27="",I27=""),"",MAX(0,(I27-B27)*24))</x:f>
      </x:c>
    </x:row>
    <x:row r="28" ht="20" customHeight="1">
      <x:c r="A28" s="516"/>
      <x:c r="B28" s="517"/>
      <x:c r="C28" s="517"/>
      <x:c r="D28" s="517"/>
      <x:c r="E28" s="517"/>
      <x:c r="F28" s="517"/>
      <x:c r="G28" s="517"/>
      <x:c r="H28" s="517"/>
      <x:c r="I28" s="517"/>
      <x:c r="J28" s="518"/>
      <x:c r="K28" s="519"/>
      <x:c r="L28" s="520"/>
      <x:c r="M28" s="520"/>
      <x:c r="N28" s="521" t="str">
        <x:f>IF(OR(B28="",C28=""),"",MAX(0,(C28-B28)*24))</x:f>
      </x:c>
      <x:c r="O28" s="521" t="str">
        <x:f>IF(OR(C28="",D28=""),"",MAX(0,(D28-C28)*24))</x:f>
      </x:c>
      <x:c r="P28" s="521" t="str">
        <x:f>IF(OR(D28="",E28=""),"",MAX(0,(E28-D28)*24))</x:f>
      </x:c>
      <x:c r="Q28" s="521" t="str">
        <x:f>IF(OR(F28="",G28=""),"",MAX(0,(G28-F28)*24))</x:f>
      </x:c>
      <x:c r="R28" s="521" t="str">
        <x:f>IF(OR(G28="",H28=""),"",MAX(0,(H28-G28)*24))</x:f>
      </x:c>
      <x:c r="S28" s="521" t="str">
        <x:f>IF(OR(H28="",I28=""),"",MAX(0,(I28-H28)*24))</x:f>
      </x:c>
      <x:c r="T28" s="521" t="str">
        <x:f>IF(OR(B28="",I28=""),"",MAX(0,(I28-B28)*24))</x:f>
      </x:c>
    </x:row>
    <x:row r="29" ht="20" customHeight="1">
      <x:c r="A29" s="516"/>
      <x:c r="B29" s="517"/>
      <x:c r="C29" s="517"/>
      <x:c r="D29" s="517"/>
      <x:c r="E29" s="517"/>
      <x:c r="F29" s="517"/>
      <x:c r="G29" s="517"/>
      <x:c r="H29" s="517"/>
      <x:c r="I29" s="517"/>
      <x:c r="J29" s="518"/>
      <x:c r="K29" s="519"/>
      <x:c r="L29" s="520"/>
      <x:c r="M29" s="520"/>
      <x:c r="N29" s="521" t="str">
        <x:f>IF(OR(B29="",C29=""),"",MAX(0,(C29-B29)*24))</x:f>
      </x:c>
      <x:c r="O29" s="521" t="str">
        <x:f>IF(OR(C29="",D29=""),"",MAX(0,(D29-C29)*24))</x:f>
      </x:c>
      <x:c r="P29" s="521" t="str">
        <x:f>IF(OR(D29="",E29=""),"",MAX(0,(E29-D29)*24))</x:f>
      </x:c>
      <x:c r="Q29" s="521" t="str">
        <x:f>IF(OR(F29="",G29=""),"",MAX(0,(G29-F29)*24))</x:f>
      </x:c>
      <x:c r="R29" s="521" t="str">
        <x:f>IF(OR(G29="",H29=""),"",MAX(0,(H29-G29)*24))</x:f>
      </x:c>
      <x:c r="S29" s="521" t="str">
        <x:f>IF(OR(H29="",I29=""),"",MAX(0,(I29-H29)*24))</x:f>
      </x:c>
      <x:c r="T29" s="521" t="str">
        <x:f>IF(OR(B29="",I29=""),"",MAX(0,(I29-B29)*24))</x:f>
      </x:c>
    </x:row>
    <x:row r="30" ht="20" customHeight="1">
      <x:c r="A30" s="516"/>
      <x:c r="B30" s="517"/>
      <x:c r="C30" s="517"/>
      <x:c r="D30" s="517"/>
      <x:c r="E30" s="517"/>
      <x:c r="F30" s="517"/>
      <x:c r="G30" s="517"/>
      <x:c r="H30" s="517"/>
      <x:c r="I30" s="517"/>
      <x:c r="J30" s="518"/>
      <x:c r="K30" s="519"/>
      <x:c r="L30" s="520"/>
      <x:c r="M30" s="520"/>
      <x:c r="N30" s="521" t="str">
        <x:f>IF(OR(B30="",C30=""),"",MAX(0,(C30-B30)*24))</x:f>
      </x:c>
      <x:c r="O30" s="521" t="str">
        <x:f>IF(OR(C30="",D30=""),"",MAX(0,(D30-C30)*24))</x:f>
      </x:c>
      <x:c r="P30" s="521" t="str">
        <x:f>IF(OR(D30="",E30=""),"",MAX(0,(E30-D30)*24))</x:f>
      </x:c>
      <x:c r="Q30" s="521" t="str">
        <x:f>IF(OR(F30="",G30=""),"",MAX(0,(G30-F30)*24))</x:f>
      </x:c>
      <x:c r="R30" s="521" t="str">
        <x:f>IF(OR(G30="",H30=""),"",MAX(0,(H30-G30)*24))</x:f>
      </x:c>
      <x:c r="S30" s="521" t="str">
        <x:f>IF(OR(H30="",I30=""),"",MAX(0,(I30-H30)*24))</x:f>
      </x:c>
      <x:c r="T30" s="521" t="str">
        <x:f>IF(OR(B30="",I30=""),"",MAX(0,(I30-B30)*24))</x:f>
      </x:c>
    </x:row>
    <x:row r="31" ht="20" customHeight="1">
      <x:c r="A31" s="516"/>
      <x:c r="B31" s="517"/>
      <x:c r="C31" s="517"/>
      <x:c r="D31" s="517"/>
      <x:c r="E31" s="517"/>
      <x:c r="F31" s="517"/>
      <x:c r="G31" s="517"/>
      <x:c r="H31" s="517"/>
      <x:c r="I31" s="517"/>
      <x:c r="J31" s="518"/>
      <x:c r="K31" s="519"/>
      <x:c r="L31" s="520"/>
      <x:c r="M31" s="520"/>
      <x:c r="N31" s="521" t="str">
        <x:f>IF(OR(B31="",C31=""),"",MAX(0,(C31-B31)*24))</x:f>
      </x:c>
      <x:c r="O31" s="521" t="str">
        <x:f>IF(OR(C31="",D31=""),"",MAX(0,(D31-C31)*24))</x:f>
      </x:c>
      <x:c r="P31" s="521" t="str">
        <x:f>IF(OR(D31="",E31=""),"",MAX(0,(E31-D31)*24))</x:f>
      </x:c>
      <x:c r="Q31" s="521" t="str">
        <x:f>IF(OR(F31="",G31=""),"",MAX(0,(G31-F31)*24))</x:f>
      </x:c>
      <x:c r="R31" s="521" t="str">
        <x:f>IF(OR(G31="",H31=""),"",MAX(0,(H31-G31)*24))</x:f>
      </x:c>
      <x:c r="S31" s="521" t="str">
        <x:f>IF(OR(H31="",I31=""),"",MAX(0,(I31-H31)*24))</x:f>
      </x:c>
      <x:c r="T31" s="521" t="str">
        <x:f>IF(OR(B31="",I31=""),"",MAX(0,(I31-B31)*24))</x:f>
      </x:c>
    </x:row>
    <x:row r="32" ht="20" customHeight="1">
      <x:c r="A32" s="516"/>
      <x:c r="B32" s="517"/>
      <x:c r="C32" s="517"/>
      <x:c r="D32" s="517"/>
      <x:c r="E32" s="517"/>
      <x:c r="F32" s="517"/>
      <x:c r="G32" s="517"/>
      <x:c r="H32" s="517"/>
      <x:c r="I32" s="517"/>
      <x:c r="J32" s="518"/>
      <x:c r="K32" s="519"/>
      <x:c r="L32" s="520"/>
      <x:c r="M32" s="520"/>
      <x:c r="N32" s="521" t="str">
        <x:f>IF(OR(B32="",C32=""),"",MAX(0,(C32-B32)*24))</x:f>
      </x:c>
      <x:c r="O32" s="521" t="str">
        <x:f>IF(OR(C32="",D32=""),"",MAX(0,(D32-C32)*24))</x:f>
      </x:c>
      <x:c r="P32" s="521" t="str">
        <x:f>IF(OR(D32="",E32=""),"",MAX(0,(E32-D32)*24))</x:f>
      </x:c>
      <x:c r="Q32" s="521" t="str">
        <x:f>IF(OR(F32="",G32=""),"",MAX(0,(G32-F32)*24))</x:f>
      </x:c>
      <x:c r="R32" s="521" t="str">
        <x:f>IF(OR(G32="",H32=""),"",MAX(0,(H32-G32)*24))</x:f>
      </x:c>
      <x:c r="S32" s="521" t="str">
        <x:f>IF(OR(H32="",I32=""),"",MAX(0,(I32-H32)*24))</x:f>
      </x:c>
      <x:c r="T32" s="521" t="str">
        <x:f>IF(OR(B32="",I32=""),"",MAX(0,(I32-B32)*24))</x:f>
      </x:c>
    </x:row>
    <x:row r="33" ht="20" customHeight="1">
      <x:c r="A33" s="516"/>
      <x:c r="B33" s="517"/>
      <x:c r="C33" s="517"/>
      <x:c r="D33" s="517"/>
      <x:c r="E33" s="517"/>
      <x:c r="F33" s="517"/>
      <x:c r="G33" s="517"/>
      <x:c r="H33" s="517"/>
      <x:c r="I33" s="517"/>
      <x:c r="J33" s="518"/>
      <x:c r="K33" s="519"/>
      <x:c r="L33" s="520"/>
      <x:c r="M33" s="520"/>
      <x:c r="N33" s="521" t="str">
        <x:f>IF(OR(B33="",C33=""),"",MAX(0,(C33-B33)*24))</x:f>
      </x:c>
      <x:c r="O33" s="521" t="str">
        <x:f>IF(OR(C33="",D33=""),"",MAX(0,(D33-C33)*24))</x:f>
      </x:c>
      <x:c r="P33" s="521" t="str">
        <x:f>IF(OR(D33="",E33=""),"",MAX(0,(E33-D33)*24))</x:f>
      </x:c>
      <x:c r="Q33" s="521" t="str">
        <x:f>IF(OR(F33="",G33=""),"",MAX(0,(G33-F33)*24))</x:f>
      </x:c>
      <x:c r="R33" s="521" t="str">
        <x:f>IF(OR(G33="",H33=""),"",MAX(0,(H33-G33)*24))</x:f>
      </x:c>
      <x:c r="S33" s="521" t="str">
        <x:f>IF(OR(H33="",I33=""),"",MAX(0,(I33-H33)*24))</x:f>
      </x:c>
      <x:c r="T33" s="521" t="str">
        <x:f>IF(OR(B33="",I33=""),"",MAX(0,(I33-B33)*24))</x:f>
      </x:c>
    </x:row>
    <x:row r="34" ht="20" customHeight="1">
      <x:c r="A34" s="516"/>
      <x:c r="B34" s="517"/>
      <x:c r="C34" s="517"/>
      <x:c r="D34" s="517"/>
      <x:c r="E34" s="517"/>
      <x:c r="F34" s="517"/>
      <x:c r="G34" s="517"/>
      <x:c r="H34" s="517"/>
      <x:c r="I34" s="517"/>
      <x:c r="J34" s="518"/>
      <x:c r="K34" s="519"/>
      <x:c r="L34" s="520"/>
      <x:c r="M34" s="520"/>
      <x:c r="N34" s="521" t="str">
        <x:f>IF(OR(B34="",C34=""),"",MAX(0,(C34-B34)*24))</x:f>
      </x:c>
      <x:c r="O34" s="521" t="str">
        <x:f>IF(OR(C34="",D34=""),"",MAX(0,(D34-C34)*24))</x:f>
      </x:c>
      <x:c r="P34" s="521" t="str">
        <x:f>IF(OR(D34="",E34=""),"",MAX(0,(E34-D34)*24))</x:f>
      </x:c>
      <x:c r="Q34" s="521" t="str">
        <x:f>IF(OR(F34="",G34=""),"",MAX(0,(G34-F34)*24))</x:f>
      </x:c>
      <x:c r="R34" s="521" t="str">
        <x:f>IF(OR(G34="",H34=""),"",MAX(0,(H34-G34)*24))</x:f>
      </x:c>
      <x:c r="S34" s="521" t="str">
        <x:f>IF(OR(H34="",I34=""),"",MAX(0,(I34-H34)*24))</x:f>
      </x:c>
      <x:c r="T34" s="521" t="str">
        <x:f>IF(OR(B34="",I34=""),"",MAX(0,(I34-B34)*24))</x:f>
      </x:c>
    </x:row>
    <x:row r="35" ht="20" customHeight="1">
      <x:c r="A35" s="516"/>
      <x:c r="B35" s="517"/>
      <x:c r="C35" s="517"/>
      <x:c r="D35" s="517"/>
      <x:c r="E35" s="517"/>
      <x:c r="F35" s="517"/>
      <x:c r="G35" s="517"/>
      <x:c r="H35" s="517"/>
      <x:c r="I35" s="517"/>
      <x:c r="J35" s="518"/>
      <x:c r="K35" s="519"/>
      <x:c r="L35" s="520"/>
      <x:c r="M35" s="520"/>
      <x:c r="N35" s="521" t="str">
        <x:f>IF(OR(B35="",C35=""),"",MAX(0,(C35-B35)*24))</x:f>
      </x:c>
      <x:c r="O35" s="521" t="str">
        <x:f>IF(OR(C35="",D35=""),"",MAX(0,(D35-C35)*24))</x:f>
      </x:c>
      <x:c r="P35" s="521" t="str">
        <x:f>IF(OR(D35="",E35=""),"",MAX(0,(E35-D35)*24))</x:f>
      </x:c>
      <x:c r="Q35" s="521" t="str">
        <x:f>IF(OR(F35="",G35=""),"",MAX(0,(G35-F35)*24))</x:f>
      </x:c>
      <x:c r="R35" s="521" t="str">
        <x:f>IF(OR(G35="",H35=""),"",MAX(0,(H35-G35)*24))</x:f>
      </x:c>
      <x:c r="S35" s="521" t="str">
        <x:f>IF(OR(H35="",I35=""),"",MAX(0,(I35-H35)*24))</x:f>
      </x:c>
      <x:c r="T35" s="521" t="str">
        <x:f>IF(OR(B35="",I35=""),"",MAX(0,(I35-B35)*24))</x:f>
      </x:c>
    </x:row>
    <x:row r="36" ht="20" customHeight="1">
      <x:c r="A36" s="516"/>
      <x:c r="B36" s="517"/>
      <x:c r="C36" s="517"/>
      <x:c r="D36" s="517"/>
      <x:c r="E36" s="517"/>
      <x:c r="F36" s="517"/>
      <x:c r="G36" s="517"/>
      <x:c r="H36" s="517"/>
      <x:c r="I36" s="517"/>
      <x:c r="J36" s="518"/>
      <x:c r="K36" s="519"/>
      <x:c r="L36" s="520"/>
      <x:c r="M36" s="520"/>
      <x:c r="N36" s="521" t="str">
        <x:f>IF(OR(B36="",C36=""),"",MAX(0,(C36-B36)*24))</x:f>
      </x:c>
      <x:c r="O36" s="521" t="str">
        <x:f>IF(OR(C36="",D36=""),"",MAX(0,(D36-C36)*24))</x:f>
      </x:c>
      <x:c r="P36" s="521" t="str">
        <x:f>IF(OR(D36="",E36=""),"",MAX(0,(E36-D36)*24))</x:f>
      </x:c>
      <x:c r="Q36" s="521" t="str">
        <x:f>IF(OR(F36="",G36=""),"",MAX(0,(G36-F36)*24))</x:f>
      </x:c>
      <x:c r="R36" s="521" t="str">
        <x:f>IF(OR(G36="",H36=""),"",MAX(0,(H36-G36)*24))</x:f>
      </x:c>
      <x:c r="S36" s="521" t="str">
        <x:f>IF(OR(H36="",I36=""),"",MAX(0,(I36-H36)*24))</x:f>
      </x:c>
      <x:c r="T36" s="521" t="str">
        <x:f>IF(OR(B36="",I36=""),"",MAX(0,(I36-B36)*24))</x:f>
      </x:c>
    </x:row>
    <x:row r="37" ht="20" customHeight="1">
      <x:c r="A37" s="516"/>
      <x:c r="B37" s="517"/>
      <x:c r="C37" s="517"/>
      <x:c r="D37" s="517"/>
      <x:c r="E37" s="517"/>
      <x:c r="F37" s="517"/>
      <x:c r="G37" s="517"/>
      <x:c r="H37" s="517"/>
      <x:c r="I37" s="517"/>
      <x:c r="J37" s="518"/>
      <x:c r="K37" s="519"/>
      <x:c r="L37" s="520"/>
      <x:c r="M37" s="520"/>
      <x:c r="N37" s="521" t="str">
        <x:f>IF(OR(B37="",C37=""),"",MAX(0,(C37-B37)*24))</x:f>
      </x:c>
      <x:c r="O37" s="521" t="str">
        <x:f>IF(OR(C37="",D37=""),"",MAX(0,(D37-C37)*24))</x:f>
      </x:c>
      <x:c r="P37" s="521" t="str">
        <x:f>IF(OR(D37="",E37=""),"",MAX(0,(E37-D37)*24))</x:f>
      </x:c>
      <x:c r="Q37" s="521" t="str">
        <x:f>IF(OR(F37="",G37=""),"",MAX(0,(G37-F37)*24))</x:f>
      </x:c>
      <x:c r="R37" s="521" t="str">
        <x:f>IF(OR(G37="",H37=""),"",MAX(0,(H37-G37)*24))</x:f>
      </x:c>
      <x:c r="S37" s="521" t="str">
        <x:f>IF(OR(H37="",I37=""),"",MAX(0,(I37-H37)*24))</x:f>
      </x:c>
      <x:c r="T37" s="521" t="str">
        <x:f>IF(OR(B37="",I37=""),"",MAX(0,(I37-B37)*24))</x:f>
      </x:c>
    </x:row>
    <x:row r="38" ht="20" customHeight="1">
      <x:c r="A38" s="516"/>
      <x:c r="B38" s="517"/>
      <x:c r="C38" s="517"/>
      <x:c r="D38" s="517"/>
      <x:c r="E38" s="517"/>
      <x:c r="F38" s="517"/>
      <x:c r="G38" s="517"/>
      <x:c r="H38" s="517"/>
      <x:c r="I38" s="517"/>
      <x:c r="J38" s="518"/>
      <x:c r="K38" s="519"/>
      <x:c r="L38" s="520"/>
      <x:c r="M38" s="520"/>
      <x:c r="N38" s="521" t="str">
        <x:f>IF(OR(B38="",C38=""),"",MAX(0,(C38-B38)*24))</x:f>
      </x:c>
      <x:c r="O38" s="521" t="str">
        <x:f>IF(OR(C38="",D38=""),"",MAX(0,(D38-C38)*24))</x:f>
      </x:c>
      <x:c r="P38" s="521" t="str">
        <x:f>IF(OR(D38="",E38=""),"",MAX(0,(E38-D38)*24))</x:f>
      </x:c>
      <x:c r="Q38" s="521" t="str">
        <x:f>IF(OR(F38="",G38=""),"",MAX(0,(G38-F38)*24))</x:f>
      </x:c>
      <x:c r="R38" s="521" t="str">
        <x:f>IF(OR(G38="",H38=""),"",MAX(0,(H38-G38)*24))</x:f>
      </x:c>
      <x:c r="S38" s="521" t="str">
        <x:f>IF(OR(H38="",I38=""),"",MAX(0,(I38-H38)*24))</x:f>
      </x:c>
      <x:c r="T38" s="521" t="str">
        <x:f>IF(OR(B38="",I38=""),"",MAX(0,(I38-B38)*24))</x:f>
      </x:c>
    </x:row>
    <x:row r="39" ht="20" customHeight="1">
      <x:c r="A39" s="516"/>
      <x:c r="B39" s="517"/>
      <x:c r="C39" s="517"/>
      <x:c r="D39" s="517"/>
      <x:c r="E39" s="517"/>
      <x:c r="F39" s="517"/>
      <x:c r="G39" s="517"/>
      <x:c r="H39" s="517"/>
      <x:c r="I39" s="517"/>
      <x:c r="J39" s="518"/>
      <x:c r="K39" s="519"/>
      <x:c r="L39" s="520"/>
      <x:c r="M39" s="520"/>
      <x:c r="N39" s="521" t="str">
        <x:f>IF(OR(B39="",C39=""),"",MAX(0,(C39-B39)*24))</x:f>
      </x:c>
      <x:c r="O39" s="521" t="str">
        <x:f>IF(OR(C39="",D39=""),"",MAX(0,(D39-C39)*24))</x:f>
      </x:c>
      <x:c r="P39" s="521" t="str">
        <x:f>IF(OR(D39="",E39=""),"",MAX(0,(E39-D39)*24))</x:f>
      </x:c>
      <x:c r="Q39" s="521" t="str">
        <x:f>IF(OR(F39="",G39=""),"",MAX(0,(G39-F39)*24))</x:f>
      </x:c>
      <x:c r="R39" s="521" t="str">
        <x:f>IF(OR(G39="",H39=""),"",MAX(0,(H39-G39)*24))</x:f>
      </x:c>
      <x:c r="S39" s="521" t="str">
        <x:f>IF(OR(H39="",I39=""),"",MAX(0,(I39-H39)*24))</x:f>
      </x:c>
      <x:c r="T39" s="521" t="str">
        <x:f>IF(OR(B39="",I39=""),"",MAX(0,(I39-B39)*24))</x:f>
      </x:c>
    </x:row>
    <x:row r="40" ht="20" customHeight="1">
      <x:c r="A40" s="516"/>
      <x:c r="B40" s="517"/>
      <x:c r="C40" s="517"/>
      <x:c r="D40" s="517"/>
      <x:c r="E40" s="517"/>
      <x:c r="F40" s="517"/>
      <x:c r="G40" s="517"/>
      <x:c r="H40" s="517"/>
      <x:c r="I40" s="517"/>
      <x:c r="J40" s="518"/>
      <x:c r="K40" s="519"/>
      <x:c r="L40" s="520"/>
      <x:c r="M40" s="520"/>
      <x:c r="N40" s="521" t="str">
        <x:f>IF(OR(B40="",C40=""),"",MAX(0,(C40-B40)*24))</x:f>
      </x:c>
      <x:c r="O40" s="521" t="str">
        <x:f>IF(OR(C40="",D40=""),"",MAX(0,(D40-C40)*24))</x:f>
      </x:c>
      <x:c r="P40" s="521" t="str">
        <x:f>IF(OR(D40="",E40=""),"",MAX(0,(E40-D40)*24))</x:f>
      </x:c>
      <x:c r="Q40" s="521" t="str">
        <x:f>IF(OR(F40="",G40=""),"",MAX(0,(G40-F40)*24))</x:f>
      </x:c>
      <x:c r="R40" s="521" t="str">
        <x:f>IF(OR(G40="",H40=""),"",MAX(0,(H40-G40)*24))</x:f>
      </x:c>
      <x:c r="S40" s="521" t="str">
        <x:f>IF(OR(H40="",I40=""),"",MAX(0,(I40-H40)*24))</x:f>
      </x:c>
      <x:c r="T40" s="521" t="str">
        <x:f>IF(OR(B40="",I40=""),"",MAX(0,(I40-B40)*24))</x:f>
      </x:c>
    </x:row>
    <x:row r="41" ht="20" customHeight="1">
      <x:c r="A41" s="516"/>
      <x:c r="B41" s="517"/>
      <x:c r="C41" s="517"/>
      <x:c r="D41" s="517"/>
      <x:c r="E41" s="517"/>
      <x:c r="F41" s="517"/>
      <x:c r="G41" s="517"/>
      <x:c r="H41" s="517"/>
      <x:c r="I41" s="517"/>
      <x:c r="J41" s="518"/>
      <x:c r="K41" s="519"/>
      <x:c r="L41" s="520"/>
      <x:c r="M41" s="520"/>
      <x:c r="N41" s="521" t="str">
        <x:f>IF(OR(B41="",C41=""),"",MAX(0,(C41-B41)*24))</x:f>
      </x:c>
      <x:c r="O41" s="521" t="str">
        <x:f>IF(OR(C41="",D41=""),"",MAX(0,(D41-C41)*24))</x:f>
      </x:c>
      <x:c r="P41" s="521" t="str">
        <x:f>IF(OR(D41="",E41=""),"",MAX(0,(E41-D41)*24))</x:f>
      </x:c>
      <x:c r="Q41" s="521" t="str">
        <x:f>IF(OR(F41="",G41=""),"",MAX(0,(G41-F41)*24))</x:f>
      </x:c>
      <x:c r="R41" s="521" t="str">
        <x:f>IF(OR(G41="",H41=""),"",MAX(0,(H41-G41)*24))</x:f>
      </x:c>
      <x:c r="S41" s="521" t="str">
        <x:f>IF(OR(H41="",I41=""),"",MAX(0,(I41-H41)*24))</x:f>
      </x:c>
      <x:c r="T41" s="521" t="str">
        <x:f>IF(OR(B41="",I41=""),"",MAX(0,(I41-B41)*24))</x:f>
      </x:c>
    </x:row>
    <x:row r="42" ht="20" customHeight="1">
      <x:c r="A42" s="516"/>
      <x:c r="B42" s="517"/>
      <x:c r="C42" s="517"/>
      <x:c r="D42" s="517"/>
      <x:c r="E42" s="517"/>
      <x:c r="F42" s="517"/>
      <x:c r="G42" s="517"/>
      <x:c r="H42" s="517"/>
      <x:c r="I42" s="517"/>
      <x:c r="J42" s="518"/>
      <x:c r="K42" s="519"/>
      <x:c r="L42" s="520"/>
      <x:c r="M42" s="520"/>
      <x:c r="N42" s="521" t="str">
        <x:f>IF(OR(B42="",C42=""),"",MAX(0,(C42-B42)*24))</x:f>
      </x:c>
      <x:c r="O42" s="521" t="str">
        <x:f>IF(OR(C42="",D42=""),"",MAX(0,(D42-C42)*24))</x:f>
      </x:c>
      <x:c r="P42" s="521" t="str">
        <x:f>IF(OR(D42="",E42=""),"",MAX(0,(E42-D42)*24))</x:f>
      </x:c>
      <x:c r="Q42" s="521" t="str">
        <x:f>IF(OR(F42="",G42=""),"",MAX(0,(G42-F42)*24))</x:f>
      </x:c>
      <x:c r="R42" s="521" t="str">
        <x:f>IF(OR(G42="",H42=""),"",MAX(0,(H42-G42)*24))</x:f>
      </x:c>
      <x:c r="S42" s="521" t="str">
        <x:f>IF(OR(H42="",I42=""),"",MAX(0,(I42-H42)*24))</x:f>
      </x:c>
      <x:c r="T42" s="521" t="str">
        <x:f>IF(OR(B42="",I42=""),"",MAX(0,(I42-B42)*24))</x:f>
      </x:c>
    </x:row>
    <x:row r="43" ht="20" customHeight="1">
      <x:c r="A43" s="516"/>
      <x:c r="B43" s="517"/>
      <x:c r="C43" s="517"/>
      <x:c r="D43" s="517"/>
      <x:c r="E43" s="517"/>
      <x:c r="F43" s="517"/>
      <x:c r="G43" s="517"/>
      <x:c r="H43" s="517"/>
      <x:c r="I43" s="517"/>
      <x:c r="J43" s="518"/>
      <x:c r="K43" s="519"/>
      <x:c r="L43" s="520"/>
      <x:c r="M43" s="520"/>
      <x:c r="N43" s="521" t="str">
        <x:f>IF(OR(B43="",C43=""),"",MAX(0,(C43-B43)*24))</x:f>
      </x:c>
      <x:c r="O43" s="521" t="str">
        <x:f>IF(OR(C43="",D43=""),"",MAX(0,(D43-C43)*24))</x:f>
      </x:c>
      <x:c r="P43" s="521" t="str">
        <x:f>IF(OR(D43="",E43=""),"",MAX(0,(E43-D43)*24))</x:f>
      </x:c>
      <x:c r="Q43" s="521" t="str">
        <x:f>IF(OR(F43="",G43=""),"",MAX(0,(G43-F43)*24))</x:f>
      </x:c>
      <x:c r="R43" s="521" t="str">
        <x:f>IF(OR(G43="",H43=""),"",MAX(0,(H43-G43)*24))</x:f>
      </x:c>
      <x:c r="S43" s="521" t="str">
        <x:f>IF(OR(H43="",I43=""),"",MAX(0,(I43-H43)*24))</x:f>
      </x:c>
      <x:c r="T43" s="521" t="str">
        <x:f>IF(OR(B43="",I43=""),"",MAX(0,(I43-B43)*24))</x:f>
      </x:c>
    </x:row>
    <x:row r="44" ht="20" customHeight="1">
      <x:c r="A44" s="516"/>
      <x:c r="B44" s="517"/>
      <x:c r="C44" s="517"/>
      <x:c r="D44" s="517"/>
      <x:c r="E44" s="517"/>
      <x:c r="F44" s="517"/>
      <x:c r="G44" s="517"/>
      <x:c r="H44" s="517"/>
      <x:c r="I44" s="517"/>
      <x:c r="J44" s="518"/>
      <x:c r="K44" s="519"/>
      <x:c r="L44" s="520"/>
      <x:c r="M44" s="520"/>
      <x:c r="N44" s="521" t="str">
        <x:f>IF(OR(B44="",C44=""),"",MAX(0,(C44-B44)*24))</x:f>
      </x:c>
      <x:c r="O44" s="521" t="str">
        <x:f>IF(OR(C44="",D44=""),"",MAX(0,(D44-C44)*24))</x:f>
      </x:c>
      <x:c r="P44" s="521" t="str">
        <x:f>IF(OR(D44="",E44=""),"",MAX(0,(E44-D44)*24))</x:f>
      </x:c>
      <x:c r="Q44" s="521" t="str">
        <x:f>IF(OR(F44="",G44=""),"",MAX(0,(G44-F44)*24))</x:f>
      </x:c>
      <x:c r="R44" s="521" t="str">
        <x:f>IF(OR(G44="",H44=""),"",MAX(0,(H44-G44)*24))</x:f>
      </x:c>
      <x:c r="S44" s="521" t="str">
        <x:f>IF(OR(H44="",I44=""),"",MAX(0,(I44-H44)*24))</x:f>
      </x:c>
      <x:c r="T44" s="521" t="str">
        <x:f>IF(OR(B44="",I44=""),"",MAX(0,(I44-B44)*24))</x:f>
      </x:c>
    </x:row>
    <x:row r="45" ht="20" customHeight="1">
      <x:c r="A45" s="516"/>
      <x:c r="B45" s="517"/>
      <x:c r="C45" s="517"/>
      <x:c r="D45" s="517"/>
      <x:c r="E45" s="517"/>
      <x:c r="F45" s="517"/>
      <x:c r="G45" s="517"/>
      <x:c r="H45" s="517"/>
      <x:c r="I45" s="517"/>
      <x:c r="J45" s="518"/>
      <x:c r="K45" s="519"/>
      <x:c r="L45" s="520"/>
      <x:c r="M45" s="520"/>
      <x:c r="N45" s="521" t="str">
        <x:f>IF(OR(B45="",C45=""),"",MAX(0,(C45-B45)*24))</x:f>
      </x:c>
      <x:c r="O45" s="521" t="str">
        <x:f>IF(OR(C45="",D45=""),"",MAX(0,(D45-C45)*24))</x:f>
      </x:c>
      <x:c r="P45" s="521" t="str">
        <x:f>IF(OR(D45="",E45=""),"",MAX(0,(E45-D45)*24))</x:f>
      </x:c>
      <x:c r="Q45" s="521" t="str">
        <x:f>IF(OR(F45="",G45=""),"",MAX(0,(G45-F45)*24))</x:f>
      </x:c>
      <x:c r="R45" s="521" t="str">
        <x:f>IF(OR(G45="",H45=""),"",MAX(0,(H45-G45)*24))</x:f>
      </x:c>
      <x:c r="S45" s="521" t="str">
        <x:f>IF(OR(H45="",I45=""),"",MAX(0,(I45-H45)*24))</x:f>
      </x:c>
      <x:c r="T45" s="521" t="str">
        <x:f>IF(OR(B45="",I45=""),"",MAX(0,(I45-B45)*24))</x:f>
      </x:c>
    </x:row>
    <x:row r="46" ht="20" customHeight="1">
      <x:c r="A46" s="516"/>
      <x:c r="B46" s="517"/>
      <x:c r="C46" s="517"/>
      <x:c r="D46" s="517"/>
      <x:c r="E46" s="517"/>
      <x:c r="F46" s="517"/>
      <x:c r="G46" s="517"/>
      <x:c r="H46" s="517"/>
      <x:c r="I46" s="517"/>
      <x:c r="J46" s="518"/>
      <x:c r="K46" s="519"/>
      <x:c r="L46" s="520"/>
      <x:c r="M46" s="520"/>
      <x:c r="N46" s="521" t="str">
        <x:f>IF(OR(B46="",C46=""),"",MAX(0,(C46-B46)*24))</x:f>
      </x:c>
      <x:c r="O46" s="521" t="str">
        <x:f>IF(OR(C46="",D46=""),"",MAX(0,(D46-C46)*24))</x:f>
      </x:c>
      <x:c r="P46" s="521" t="str">
        <x:f>IF(OR(D46="",E46=""),"",MAX(0,(E46-D46)*24))</x:f>
      </x:c>
      <x:c r="Q46" s="521" t="str">
        <x:f>IF(OR(F46="",G46=""),"",MAX(0,(G46-F46)*24))</x:f>
      </x:c>
      <x:c r="R46" s="521" t="str">
        <x:f>IF(OR(G46="",H46=""),"",MAX(0,(H46-G46)*24))</x:f>
      </x:c>
      <x:c r="S46" s="521" t="str">
        <x:f>IF(OR(H46="",I46=""),"",MAX(0,(I46-H46)*24))</x:f>
      </x:c>
      <x:c r="T46" s="521" t="str">
        <x:f>IF(OR(B46="",I46=""),"",MAX(0,(I46-B46)*24))</x:f>
      </x:c>
    </x:row>
    <x:row r="47" ht="20" customHeight="1">
      <x:c r="A47" s="516"/>
      <x:c r="B47" s="517"/>
      <x:c r="C47" s="517"/>
      <x:c r="D47" s="517"/>
      <x:c r="E47" s="517"/>
      <x:c r="F47" s="517"/>
      <x:c r="G47" s="517"/>
      <x:c r="H47" s="517"/>
      <x:c r="I47" s="517"/>
      <x:c r="J47" s="518"/>
      <x:c r="K47" s="519"/>
      <x:c r="L47" s="520"/>
      <x:c r="M47" s="520"/>
      <x:c r="N47" s="521" t="str">
        <x:f>IF(OR(B47="",C47=""),"",MAX(0,(C47-B47)*24))</x:f>
      </x:c>
      <x:c r="O47" s="521" t="str">
        <x:f>IF(OR(C47="",D47=""),"",MAX(0,(D47-C47)*24))</x:f>
      </x:c>
      <x:c r="P47" s="521" t="str">
        <x:f>IF(OR(D47="",E47=""),"",MAX(0,(E47-D47)*24))</x:f>
      </x:c>
      <x:c r="Q47" s="521" t="str">
        <x:f>IF(OR(F47="",G47=""),"",MAX(0,(G47-F47)*24))</x:f>
      </x:c>
      <x:c r="R47" s="521" t="str">
        <x:f>IF(OR(G47="",H47=""),"",MAX(0,(H47-G47)*24))</x:f>
      </x:c>
      <x:c r="S47" s="521" t="str">
        <x:f>IF(OR(H47="",I47=""),"",MAX(0,(I47-H47)*24))</x:f>
      </x:c>
      <x:c r="T47" s="521" t="str">
        <x:f>IF(OR(B47="",I47=""),"",MAX(0,(I47-B47)*24))</x:f>
      </x:c>
    </x:row>
    <x:row r="48" ht="20" customHeight="1">
      <x:c r="A48" s="516"/>
      <x:c r="B48" s="517"/>
      <x:c r="C48" s="517"/>
      <x:c r="D48" s="517"/>
      <x:c r="E48" s="517"/>
      <x:c r="F48" s="517"/>
      <x:c r="G48" s="517"/>
      <x:c r="H48" s="517"/>
      <x:c r="I48" s="517"/>
      <x:c r="J48" s="518"/>
      <x:c r="K48" s="519"/>
      <x:c r="L48" s="520"/>
      <x:c r="M48" s="520"/>
      <x:c r="N48" s="521" t="str">
        <x:f>IF(OR(B48="",C48=""),"",MAX(0,(C48-B48)*24))</x:f>
      </x:c>
      <x:c r="O48" s="521" t="str">
        <x:f>IF(OR(C48="",D48=""),"",MAX(0,(D48-C48)*24))</x:f>
      </x:c>
      <x:c r="P48" s="521" t="str">
        <x:f>IF(OR(D48="",E48=""),"",MAX(0,(E48-D48)*24))</x:f>
      </x:c>
      <x:c r="Q48" s="521" t="str">
        <x:f>IF(OR(F48="",G48=""),"",MAX(0,(G48-F48)*24))</x:f>
      </x:c>
      <x:c r="R48" s="521" t="str">
        <x:f>IF(OR(G48="",H48=""),"",MAX(0,(H48-G48)*24))</x:f>
      </x:c>
      <x:c r="S48" s="521" t="str">
        <x:f>IF(OR(H48="",I48=""),"",MAX(0,(I48-H48)*24))</x:f>
      </x:c>
      <x:c r="T48" s="521" t="str">
        <x:f>IF(OR(B48="",I48=""),"",MAX(0,(I48-B48)*24))</x:f>
      </x:c>
    </x:row>
    <x:row r="49" ht="20" customHeight="1">
      <x:c r="A49" s="516"/>
      <x:c r="B49" s="517"/>
      <x:c r="C49" s="517"/>
      <x:c r="D49" s="517"/>
      <x:c r="E49" s="517"/>
      <x:c r="F49" s="517"/>
      <x:c r="G49" s="517"/>
      <x:c r="H49" s="517"/>
      <x:c r="I49" s="517"/>
      <x:c r="J49" s="518"/>
      <x:c r="K49" s="519"/>
      <x:c r="L49" s="520"/>
      <x:c r="M49" s="520"/>
      <x:c r="N49" s="521" t="str">
        <x:f>IF(OR(B49="",C49=""),"",MAX(0,(C49-B49)*24))</x:f>
      </x:c>
      <x:c r="O49" s="521" t="str">
        <x:f>IF(OR(C49="",D49=""),"",MAX(0,(D49-C49)*24))</x:f>
      </x:c>
      <x:c r="P49" s="521" t="str">
        <x:f>IF(OR(D49="",E49=""),"",MAX(0,(E49-D49)*24))</x:f>
      </x:c>
      <x:c r="Q49" s="521" t="str">
        <x:f>IF(OR(F49="",G49=""),"",MAX(0,(G49-F49)*24))</x:f>
      </x:c>
      <x:c r="R49" s="521" t="str">
        <x:f>IF(OR(G49="",H49=""),"",MAX(0,(H49-G49)*24))</x:f>
      </x:c>
      <x:c r="S49" s="521" t="str">
        <x:f>IF(OR(H49="",I49=""),"",MAX(0,(I49-H49)*24))</x:f>
      </x:c>
      <x:c r="T49" s="521" t="str">
        <x:f>IF(OR(B49="",I49=""),"",MAX(0,(I49-B49)*24))</x:f>
      </x:c>
    </x:row>
    <x:row r="50" ht="20" customHeight="1">
      <x:c r="A50" s="516"/>
      <x:c r="B50" s="517"/>
      <x:c r="C50" s="517"/>
      <x:c r="D50" s="517"/>
      <x:c r="E50" s="517"/>
      <x:c r="F50" s="517"/>
      <x:c r="G50" s="517"/>
      <x:c r="H50" s="517"/>
      <x:c r="I50" s="517"/>
      <x:c r="J50" s="518"/>
      <x:c r="K50" s="519"/>
      <x:c r="L50" s="520"/>
      <x:c r="M50" s="520"/>
      <x:c r="N50" s="521" t="str">
        <x:f>IF(OR(B50="",C50=""),"",MAX(0,(C50-B50)*24))</x:f>
      </x:c>
      <x:c r="O50" s="521" t="str">
        <x:f>IF(OR(C50="",D50=""),"",MAX(0,(D50-C50)*24))</x:f>
      </x:c>
      <x:c r="P50" s="521" t="str">
        <x:f>IF(OR(D50="",E50=""),"",MAX(0,(E50-D50)*24))</x:f>
      </x:c>
      <x:c r="Q50" s="521" t="str">
        <x:f>IF(OR(F50="",G50=""),"",MAX(0,(G50-F50)*24))</x:f>
      </x:c>
      <x:c r="R50" s="521" t="str">
        <x:f>IF(OR(G50="",H50=""),"",MAX(0,(H50-G50)*24))</x:f>
      </x:c>
      <x:c r="S50" s="521" t="str">
        <x:f>IF(OR(H50="",I50=""),"",MAX(0,(I50-H50)*24))</x:f>
      </x:c>
      <x:c r="T50" s="521" t="str">
        <x:f>IF(OR(B50="",I50=""),"",MAX(0,(I50-B50)*24))</x:f>
      </x:c>
    </x:row>
    <x:row r="51" ht="20" customHeight="1">
      <x:c r="A51" s="516"/>
      <x:c r="B51" s="517"/>
      <x:c r="C51" s="517"/>
      <x:c r="D51" s="517"/>
      <x:c r="E51" s="517"/>
      <x:c r="F51" s="517"/>
      <x:c r="G51" s="517"/>
      <x:c r="H51" s="517"/>
      <x:c r="I51" s="517"/>
      <x:c r="J51" s="518"/>
      <x:c r="K51" s="519"/>
      <x:c r="L51" s="520"/>
      <x:c r="M51" s="520"/>
      <x:c r="N51" s="521" t="str">
        <x:f>IF(OR(B51="",C51=""),"",MAX(0,(C51-B51)*24))</x:f>
      </x:c>
      <x:c r="O51" s="521" t="str">
        <x:f>IF(OR(C51="",D51=""),"",MAX(0,(D51-C51)*24))</x:f>
      </x:c>
      <x:c r="P51" s="521" t="str">
        <x:f>IF(OR(D51="",E51=""),"",MAX(0,(E51-D51)*24))</x:f>
      </x:c>
      <x:c r="Q51" s="521" t="str">
        <x:f>IF(OR(F51="",G51=""),"",MAX(0,(G51-F51)*24))</x:f>
      </x:c>
      <x:c r="R51" s="521" t="str">
        <x:f>IF(OR(G51="",H51=""),"",MAX(0,(H51-G51)*24))</x:f>
      </x:c>
      <x:c r="S51" s="521" t="str">
        <x:f>IF(OR(H51="",I51=""),"",MAX(0,(I51-H51)*24))</x:f>
      </x:c>
      <x:c r="T51" s="521" t="str">
        <x:f>IF(OR(B51="",I51=""),"",MAX(0,(I51-B51)*24))</x:f>
      </x:c>
    </x:row>
    <x:row r="52" ht="20" customHeight="1">
      <x:c r="A52" s="516"/>
      <x:c r="B52" s="517"/>
      <x:c r="C52" s="517"/>
      <x:c r="D52" s="517"/>
      <x:c r="E52" s="517"/>
      <x:c r="F52" s="517"/>
      <x:c r="G52" s="517"/>
      <x:c r="H52" s="517"/>
      <x:c r="I52" s="517"/>
      <x:c r="J52" s="518"/>
      <x:c r="K52" s="519"/>
      <x:c r="L52" s="520"/>
      <x:c r="M52" s="520"/>
      <x:c r="N52" s="521" t="str">
        <x:f>IF(OR(B52="",C52=""),"",MAX(0,(C52-B52)*24))</x:f>
      </x:c>
      <x:c r="O52" s="521" t="str">
        <x:f>IF(OR(C52="",D52=""),"",MAX(0,(D52-C52)*24))</x:f>
      </x:c>
      <x:c r="P52" s="521" t="str">
        <x:f>IF(OR(D52="",E52=""),"",MAX(0,(E52-D52)*24))</x:f>
      </x:c>
      <x:c r="Q52" s="521" t="str">
        <x:f>IF(OR(F52="",G52=""),"",MAX(0,(G52-F52)*24))</x:f>
      </x:c>
      <x:c r="R52" s="521" t="str">
        <x:f>IF(OR(G52="",H52=""),"",MAX(0,(H52-G52)*24))</x:f>
      </x:c>
      <x:c r="S52" s="521" t="str">
        <x:f>IF(OR(H52="",I52=""),"",MAX(0,(I52-H52)*24))</x:f>
      </x:c>
      <x:c r="T52" s="521" t="str">
        <x:f>IF(OR(B52="",I52=""),"",MAX(0,(I52-B52)*24))</x:f>
      </x:c>
    </x:row>
    <x:row r="53" ht="20" customHeight="1">
      <x:c r="A53" s="516"/>
      <x:c r="B53" s="517"/>
      <x:c r="C53" s="517"/>
      <x:c r="D53" s="517"/>
      <x:c r="E53" s="517"/>
      <x:c r="F53" s="517"/>
      <x:c r="G53" s="517"/>
      <x:c r="H53" s="517"/>
      <x:c r="I53" s="517"/>
      <x:c r="J53" s="518"/>
      <x:c r="K53" s="519"/>
      <x:c r="L53" s="520"/>
      <x:c r="M53" s="520"/>
      <x:c r="N53" s="521" t="str">
        <x:f>IF(OR(B53="",C53=""),"",MAX(0,(C53-B53)*24))</x:f>
      </x:c>
      <x:c r="O53" s="521" t="str">
        <x:f>IF(OR(C53="",D53=""),"",MAX(0,(D53-C53)*24))</x:f>
      </x:c>
      <x:c r="P53" s="521" t="str">
        <x:f>IF(OR(D53="",E53=""),"",MAX(0,(E53-D53)*24))</x:f>
      </x:c>
      <x:c r="Q53" s="521" t="str">
        <x:f>IF(OR(F53="",G53=""),"",MAX(0,(G53-F53)*24))</x:f>
      </x:c>
      <x:c r="R53" s="521" t="str">
        <x:f>IF(OR(G53="",H53=""),"",MAX(0,(H53-G53)*24))</x:f>
      </x:c>
      <x:c r="S53" s="521" t="str">
        <x:f>IF(OR(H53="",I53=""),"",MAX(0,(I53-H53)*24))</x:f>
      </x:c>
      <x:c r="T53" s="521" t="str">
        <x:f>IF(OR(B53="",I53=""),"",MAX(0,(I53-B53)*24))</x:f>
      </x:c>
    </x:row>
    <x:row r="54" ht="20" customHeight="1">
      <x:c r="A54" s="516"/>
      <x:c r="B54" s="517"/>
      <x:c r="C54" s="517"/>
      <x:c r="D54" s="517"/>
      <x:c r="E54" s="517"/>
      <x:c r="F54" s="517"/>
      <x:c r="G54" s="517"/>
      <x:c r="H54" s="517"/>
      <x:c r="I54" s="517"/>
      <x:c r="J54" s="518"/>
      <x:c r="K54" s="519"/>
      <x:c r="L54" s="520"/>
      <x:c r="M54" s="520"/>
      <x:c r="N54" s="521" t="str">
        <x:f>IF(OR(B54="",C54=""),"",MAX(0,(C54-B54)*24))</x:f>
      </x:c>
      <x:c r="O54" s="521" t="str">
        <x:f>IF(OR(C54="",D54=""),"",MAX(0,(D54-C54)*24))</x:f>
      </x:c>
      <x:c r="P54" s="521" t="str">
        <x:f>IF(OR(D54="",E54=""),"",MAX(0,(E54-D54)*24))</x:f>
      </x:c>
      <x:c r="Q54" s="521" t="str">
        <x:f>IF(OR(F54="",G54=""),"",MAX(0,(G54-F54)*24))</x:f>
      </x:c>
      <x:c r="R54" s="521" t="str">
        <x:f>IF(OR(G54="",H54=""),"",MAX(0,(H54-G54)*24))</x:f>
      </x:c>
      <x:c r="S54" s="521" t="str">
        <x:f>IF(OR(H54="",I54=""),"",MAX(0,(I54-H54)*24))</x:f>
      </x:c>
      <x:c r="T54" s="521" t="str">
        <x:f>IF(OR(B54="",I54=""),"",MAX(0,(I54-B54)*24))</x:f>
      </x:c>
    </x:row>
    <x:row r="55" ht="20" customHeight="1">
      <x:c r="A55" s="516"/>
      <x:c r="B55" s="517"/>
      <x:c r="C55" s="517"/>
      <x:c r="D55" s="517"/>
      <x:c r="E55" s="517"/>
      <x:c r="F55" s="517"/>
      <x:c r="G55" s="517"/>
      <x:c r="H55" s="517"/>
      <x:c r="I55" s="517"/>
      <x:c r="J55" s="518"/>
      <x:c r="K55" s="519"/>
      <x:c r="L55" s="520"/>
      <x:c r="M55" s="520"/>
      <x:c r="N55" s="521" t="str">
        <x:f>IF(OR(B55="",C55=""),"",MAX(0,(C55-B55)*24))</x:f>
      </x:c>
      <x:c r="O55" s="521" t="str">
        <x:f>IF(OR(C55="",D55=""),"",MAX(0,(D55-C55)*24))</x:f>
      </x:c>
      <x:c r="P55" s="521" t="str">
        <x:f>IF(OR(D55="",E55=""),"",MAX(0,(E55-D55)*24))</x:f>
      </x:c>
      <x:c r="Q55" s="521" t="str">
        <x:f>IF(OR(F55="",G55=""),"",MAX(0,(G55-F55)*24))</x:f>
      </x:c>
      <x:c r="R55" s="521" t="str">
        <x:f>IF(OR(G55="",H55=""),"",MAX(0,(H55-G55)*24))</x:f>
      </x:c>
      <x:c r="S55" s="521" t="str">
        <x:f>IF(OR(H55="",I55=""),"",MAX(0,(I55-H55)*24))</x:f>
      </x:c>
      <x:c r="T55" s="521" t="str">
        <x:f>IF(OR(B55="",I55=""),"",MAX(0,(I55-B55)*24))</x:f>
      </x:c>
    </x:row>
    <x:row r="56" ht="20" customHeight="1">
      <x:c r="A56" s="516"/>
      <x:c r="B56" s="517"/>
      <x:c r="C56" s="517"/>
      <x:c r="D56" s="517"/>
      <x:c r="E56" s="517"/>
      <x:c r="F56" s="517"/>
      <x:c r="G56" s="517"/>
      <x:c r="H56" s="517"/>
      <x:c r="I56" s="517"/>
      <x:c r="J56" s="518"/>
      <x:c r="K56" s="519"/>
      <x:c r="L56" s="520"/>
      <x:c r="M56" s="520"/>
      <x:c r="N56" s="521" t="str">
        <x:f>IF(OR(B56="",C56=""),"",MAX(0,(C56-B56)*24))</x:f>
      </x:c>
      <x:c r="O56" s="521" t="str">
        <x:f>IF(OR(C56="",D56=""),"",MAX(0,(D56-C56)*24))</x:f>
      </x:c>
      <x:c r="P56" s="521" t="str">
        <x:f>IF(OR(D56="",E56=""),"",MAX(0,(E56-D56)*24))</x:f>
      </x:c>
      <x:c r="Q56" s="521" t="str">
        <x:f>IF(OR(F56="",G56=""),"",MAX(0,(G56-F56)*24))</x:f>
      </x:c>
      <x:c r="R56" s="521" t="str">
        <x:f>IF(OR(G56="",H56=""),"",MAX(0,(H56-G56)*24))</x:f>
      </x:c>
      <x:c r="S56" s="521" t="str">
        <x:f>IF(OR(H56="",I56=""),"",MAX(0,(I56-H56)*24))</x:f>
      </x:c>
      <x:c r="T56" s="521" t="str">
        <x:f>IF(OR(B56="",I56=""),"",MAX(0,(I56-B56)*24))</x:f>
      </x:c>
    </x:row>
    <x:row r="57" ht="20" customHeight="1">
      <x:c r="A57" s="516"/>
      <x:c r="B57" s="517"/>
      <x:c r="C57" s="517"/>
      <x:c r="D57" s="517"/>
      <x:c r="E57" s="517"/>
      <x:c r="F57" s="517"/>
      <x:c r="G57" s="517"/>
      <x:c r="H57" s="517"/>
      <x:c r="I57" s="517"/>
      <x:c r="J57" s="518"/>
      <x:c r="K57" s="519"/>
      <x:c r="L57" s="520"/>
      <x:c r="M57" s="520"/>
      <x:c r="N57" s="521" t="str">
        <x:f>IF(OR(B57="",C57=""),"",MAX(0,(C57-B57)*24))</x:f>
      </x:c>
      <x:c r="O57" s="521" t="str">
        <x:f>IF(OR(C57="",D57=""),"",MAX(0,(D57-C57)*24))</x:f>
      </x:c>
      <x:c r="P57" s="521" t="str">
        <x:f>IF(OR(D57="",E57=""),"",MAX(0,(E57-D57)*24))</x:f>
      </x:c>
      <x:c r="Q57" s="521" t="str">
        <x:f>IF(OR(F57="",G57=""),"",MAX(0,(G57-F57)*24))</x:f>
      </x:c>
      <x:c r="R57" s="521" t="str">
        <x:f>IF(OR(G57="",H57=""),"",MAX(0,(H57-G57)*24))</x:f>
      </x:c>
      <x:c r="S57" s="521" t="str">
        <x:f>IF(OR(H57="",I57=""),"",MAX(0,(I57-H57)*24))</x:f>
      </x:c>
      <x:c r="T57" s="521" t="str">
        <x:f>IF(OR(B57="",I57=""),"",MAX(0,(I57-B57)*24))</x:f>
      </x:c>
    </x:row>
    <x:row r="58" ht="20" customHeight="1">
      <x:c r="A58" s="516"/>
      <x:c r="B58" s="517"/>
      <x:c r="C58" s="517"/>
      <x:c r="D58" s="517"/>
      <x:c r="E58" s="517"/>
      <x:c r="F58" s="517"/>
      <x:c r="G58" s="517"/>
      <x:c r="H58" s="517"/>
      <x:c r="I58" s="517"/>
      <x:c r="J58" s="518"/>
      <x:c r="K58" s="519"/>
      <x:c r="L58" s="520"/>
      <x:c r="M58" s="520"/>
      <x:c r="N58" s="521" t="str">
        <x:f>IF(OR(B58="",C58=""),"",MAX(0,(C58-B58)*24))</x:f>
      </x:c>
      <x:c r="O58" s="521" t="str">
        <x:f>IF(OR(C58="",D58=""),"",MAX(0,(D58-C58)*24))</x:f>
      </x:c>
      <x:c r="P58" s="521" t="str">
        <x:f>IF(OR(D58="",E58=""),"",MAX(0,(E58-D58)*24))</x:f>
      </x:c>
      <x:c r="Q58" s="521" t="str">
        <x:f>IF(OR(F58="",G58=""),"",MAX(0,(G58-F58)*24))</x:f>
      </x:c>
      <x:c r="R58" s="521" t="str">
        <x:f>IF(OR(G58="",H58=""),"",MAX(0,(H58-G58)*24))</x:f>
      </x:c>
      <x:c r="S58" s="521" t="str">
        <x:f>IF(OR(H58="",I58=""),"",MAX(0,(I58-H58)*24))</x:f>
      </x:c>
      <x:c r="T58" s="521" t="str">
        <x:f>IF(OR(B58="",I58=""),"",MAX(0,(I58-B58)*24))</x:f>
      </x:c>
    </x:row>
    <x:row r="59" ht="20" customHeight="1">
      <x:c r="A59" s="516"/>
      <x:c r="B59" s="517"/>
      <x:c r="C59" s="517"/>
      <x:c r="D59" s="517"/>
      <x:c r="E59" s="517"/>
      <x:c r="F59" s="517"/>
      <x:c r="G59" s="517"/>
      <x:c r="H59" s="517"/>
      <x:c r="I59" s="517"/>
      <x:c r="J59" s="518"/>
      <x:c r="K59" s="519"/>
      <x:c r="L59" s="520"/>
      <x:c r="M59" s="520"/>
      <x:c r="N59" s="521" t="str">
        <x:f>IF(OR(B59="",C59=""),"",MAX(0,(C59-B59)*24))</x:f>
      </x:c>
      <x:c r="O59" s="521" t="str">
        <x:f>IF(OR(C59="",D59=""),"",MAX(0,(D59-C59)*24))</x:f>
      </x:c>
      <x:c r="P59" s="521" t="str">
        <x:f>IF(OR(D59="",E59=""),"",MAX(0,(E59-D59)*24))</x:f>
      </x:c>
      <x:c r="Q59" s="521" t="str">
        <x:f>IF(OR(F59="",G59=""),"",MAX(0,(G59-F59)*24))</x:f>
      </x:c>
      <x:c r="R59" s="521" t="str">
        <x:f>IF(OR(G59="",H59=""),"",MAX(0,(H59-G59)*24))</x:f>
      </x:c>
      <x:c r="S59" s="521" t="str">
        <x:f>IF(OR(H59="",I59=""),"",MAX(0,(I59-H59)*24))</x:f>
      </x:c>
      <x:c r="T59" s="521" t="str">
        <x:f>IF(OR(B59="",I59=""),"",MAX(0,(I59-B59)*24))</x:f>
      </x:c>
    </x:row>
    <x:row r="60" ht="20" customHeight="1">
      <x:c r="A60" s="516"/>
      <x:c r="B60" s="517"/>
      <x:c r="C60" s="517"/>
      <x:c r="D60" s="517"/>
      <x:c r="E60" s="517"/>
      <x:c r="F60" s="517"/>
      <x:c r="G60" s="517"/>
      <x:c r="H60" s="517"/>
      <x:c r="I60" s="517"/>
      <x:c r="J60" s="518"/>
      <x:c r="K60" s="519"/>
      <x:c r="L60" s="520"/>
      <x:c r="M60" s="520"/>
      <x:c r="N60" s="521" t="str">
        <x:f>IF(OR(B60="",C60=""),"",MAX(0,(C60-B60)*24))</x:f>
      </x:c>
      <x:c r="O60" s="521" t="str">
        <x:f>IF(OR(C60="",D60=""),"",MAX(0,(D60-C60)*24))</x:f>
      </x:c>
      <x:c r="P60" s="521" t="str">
        <x:f>IF(OR(D60="",E60=""),"",MAX(0,(E60-D60)*24))</x:f>
      </x:c>
      <x:c r="Q60" s="521" t="str">
        <x:f>IF(OR(F60="",G60=""),"",MAX(0,(G60-F60)*24))</x:f>
      </x:c>
      <x:c r="R60" s="521" t="str">
        <x:f>IF(OR(G60="",H60=""),"",MAX(0,(H60-G60)*24))</x:f>
      </x:c>
      <x:c r="S60" s="521" t="str">
        <x:f>IF(OR(H60="",I60=""),"",MAX(0,(I60-H60)*24))</x:f>
      </x:c>
      <x:c r="T60" s="521" t="str">
        <x:f>IF(OR(B60="",I60=""),"",MAX(0,(I60-B60)*24))</x:f>
      </x:c>
    </x:row>
    <x:row r="61" ht="20" customHeight="1">
      <x:c r="A61" s="516"/>
      <x:c r="B61" s="517"/>
      <x:c r="C61" s="517"/>
      <x:c r="D61" s="517"/>
      <x:c r="E61" s="517"/>
      <x:c r="F61" s="517"/>
      <x:c r="G61" s="517"/>
      <x:c r="H61" s="517"/>
      <x:c r="I61" s="517"/>
      <x:c r="J61" s="518"/>
      <x:c r="K61" s="519"/>
      <x:c r="L61" s="520"/>
      <x:c r="M61" s="520"/>
      <x:c r="N61" s="521" t="str">
        <x:f>IF(OR(B61="",C61=""),"",MAX(0,(C61-B61)*24))</x:f>
      </x:c>
      <x:c r="O61" s="521" t="str">
        <x:f>IF(OR(C61="",D61=""),"",MAX(0,(D61-C61)*24))</x:f>
      </x:c>
      <x:c r="P61" s="521" t="str">
        <x:f>IF(OR(D61="",E61=""),"",MAX(0,(E61-D61)*24))</x:f>
      </x:c>
      <x:c r="Q61" s="521" t="str">
        <x:f>IF(OR(F61="",G61=""),"",MAX(0,(G61-F61)*24))</x:f>
      </x:c>
      <x:c r="R61" s="521" t="str">
        <x:f>IF(OR(G61="",H61=""),"",MAX(0,(H61-G61)*24))</x:f>
      </x:c>
      <x:c r="S61" s="521" t="str">
        <x:f>IF(OR(H61="",I61=""),"",MAX(0,(I61-H61)*24))</x:f>
      </x:c>
      <x:c r="T61" s="521" t="str">
        <x:f>IF(OR(B61="",I61=""),"",MAX(0,(I61-B61)*24))</x:f>
      </x:c>
    </x:row>
    <x:row r="62" ht="20" customHeight="1">
      <x:c r="A62" s="516"/>
      <x:c r="B62" s="517"/>
      <x:c r="C62" s="517"/>
      <x:c r="D62" s="517"/>
      <x:c r="E62" s="517"/>
      <x:c r="F62" s="517"/>
      <x:c r="G62" s="517"/>
      <x:c r="H62" s="517"/>
      <x:c r="I62" s="517"/>
      <x:c r="J62" s="518"/>
      <x:c r="K62" s="519"/>
      <x:c r="L62" s="520"/>
      <x:c r="M62" s="520"/>
      <x:c r="N62" s="521" t="str">
        <x:f>IF(OR(B62="",C62=""),"",MAX(0,(C62-B62)*24))</x:f>
      </x:c>
      <x:c r="O62" s="521" t="str">
        <x:f>IF(OR(C62="",D62=""),"",MAX(0,(D62-C62)*24))</x:f>
      </x:c>
      <x:c r="P62" s="521" t="str">
        <x:f>IF(OR(D62="",E62=""),"",MAX(0,(E62-D62)*24))</x:f>
      </x:c>
      <x:c r="Q62" s="521" t="str">
        <x:f>IF(OR(F62="",G62=""),"",MAX(0,(G62-F62)*24))</x:f>
      </x:c>
      <x:c r="R62" s="521" t="str">
        <x:f>IF(OR(G62="",H62=""),"",MAX(0,(H62-G62)*24))</x:f>
      </x:c>
      <x:c r="S62" s="521" t="str">
        <x:f>IF(OR(H62="",I62=""),"",MAX(0,(I62-H62)*24))</x:f>
      </x:c>
      <x:c r="T62" s="521" t="str">
        <x:f>IF(OR(B62="",I62=""),"",MAX(0,(I62-B62)*24))</x:f>
      </x:c>
    </x:row>
    <x:row r="63" ht="20" customHeight="1">
      <x:c r="A63" s="516"/>
      <x:c r="B63" s="517"/>
      <x:c r="C63" s="517"/>
      <x:c r="D63" s="517"/>
      <x:c r="E63" s="517"/>
      <x:c r="F63" s="517"/>
      <x:c r="G63" s="517"/>
      <x:c r="H63" s="517"/>
      <x:c r="I63" s="517"/>
      <x:c r="J63" s="518"/>
      <x:c r="K63" s="519"/>
      <x:c r="L63" s="520"/>
      <x:c r="M63" s="520"/>
      <x:c r="N63" s="521" t="str">
        <x:f>IF(OR(B63="",C63=""),"",MAX(0,(C63-B63)*24))</x:f>
      </x:c>
      <x:c r="O63" s="521" t="str">
        <x:f>IF(OR(C63="",D63=""),"",MAX(0,(D63-C63)*24))</x:f>
      </x:c>
      <x:c r="P63" s="521" t="str">
        <x:f>IF(OR(D63="",E63=""),"",MAX(0,(E63-D63)*24))</x:f>
      </x:c>
      <x:c r="Q63" s="521" t="str">
        <x:f>IF(OR(F63="",G63=""),"",MAX(0,(G63-F63)*24))</x:f>
      </x:c>
      <x:c r="R63" s="521" t="str">
        <x:f>IF(OR(G63="",H63=""),"",MAX(0,(H63-G63)*24))</x:f>
      </x:c>
      <x:c r="S63" s="521" t="str">
        <x:f>IF(OR(H63="",I63=""),"",MAX(0,(I63-H63)*24))</x:f>
      </x:c>
      <x:c r="T63" s="521" t="str">
        <x:f>IF(OR(B63="",I63=""),"",MAX(0,(I63-B63)*24))</x:f>
      </x:c>
    </x:row>
    <x:row r="64" ht="20" customHeight="1">
      <x:c r="A64" s="516"/>
      <x:c r="B64" s="517"/>
      <x:c r="C64" s="517"/>
      <x:c r="D64" s="517"/>
      <x:c r="E64" s="517"/>
      <x:c r="F64" s="517"/>
      <x:c r="G64" s="517"/>
      <x:c r="H64" s="517"/>
      <x:c r="I64" s="517"/>
      <x:c r="J64" s="518"/>
      <x:c r="K64" s="519"/>
      <x:c r="L64" s="520"/>
      <x:c r="M64" s="520"/>
      <x:c r="N64" s="521" t="str">
        <x:f>IF(OR(B64="",C64=""),"",MAX(0,(C64-B64)*24))</x:f>
      </x:c>
      <x:c r="O64" s="521" t="str">
        <x:f>IF(OR(C64="",D64=""),"",MAX(0,(D64-C64)*24))</x:f>
      </x:c>
      <x:c r="P64" s="521" t="str">
        <x:f>IF(OR(D64="",E64=""),"",MAX(0,(E64-D64)*24))</x:f>
      </x:c>
      <x:c r="Q64" s="521" t="str">
        <x:f>IF(OR(F64="",G64=""),"",MAX(0,(G64-F64)*24))</x:f>
      </x:c>
      <x:c r="R64" s="521" t="str">
        <x:f>IF(OR(G64="",H64=""),"",MAX(0,(H64-G64)*24))</x:f>
      </x:c>
      <x:c r="S64" s="521" t="str">
        <x:f>IF(OR(H64="",I64=""),"",MAX(0,(I64-H64)*24))</x:f>
      </x:c>
      <x:c r="T64" s="521" t="str">
        <x:f>IF(OR(B64="",I64=""),"",MAX(0,(I64-B64)*24))</x:f>
      </x:c>
    </x:row>
    <x:row r="65" ht="20" customHeight="1">
      <x:c r="A65" s="516"/>
      <x:c r="B65" s="517"/>
      <x:c r="C65" s="517"/>
      <x:c r="D65" s="517"/>
      <x:c r="E65" s="517"/>
      <x:c r="F65" s="517"/>
      <x:c r="G65" s="517"/>
      <x:c r="H65" s="517"/>
      <x:c r="I65" s="517"/>
      <x:c r="J65" s="518"/>
      <x:c r="K65" s="519"/>
      <x:c r="L65" s="520"/>
      <x:c r="M65" s="520"/>
      <x:c r="N65" s="521" t="str">
        <x:f>IF(OR(B65="",C65=""),"",MAX(0,(C65-B65)*24))</x:f>
      </x:c>
      <x:c r="O65" s="521" t="str">
        <x:f>IF(OR(C65="",D65=""),"",MAX(0,(D65-C65)*24))</x:f>
      </x:c>
      <x:c r="P65" s="521" t="str">
        <x:f>IF(OR(D65="",E65=""),"",MAX(0,(E65-D65)*24))</x:f>
      </x:c>
      <x:c r="Q65" s="521" t="str">
        <x:f>IF(OR(F65="",G65=""),"",MAX(0,(G65-F65)*24))</x:f>
      </x:c>
      <x:c r="R65" s="521" t="str">
        <x:f>IF(OR(G65="",H65=""),"",MAX(0,(H65-G65)*24))</x:f>
      </x:c>
      <x:c r="S65" s="521" t="str">
        <x:f>IF(OR(H65="",I65=""),"",MAX(0,(I65-H65)*24))</x:f>
      </x:c>
      <x:c r="T65" s="521" t="str">
        <x:f>IF(OR(B65="",I65=""),"",MAX(0,(I65-B65)*24))</x:f>
      </x:c>
    </x:row>
    <x:row r="66" ht="20" customHeight="1">
      <x:c r="A66" s="516"/>
      <x:c r="B66" s="517"/>
      <x:c r="C66" s="517"/>
      <x:c r="D66" s="517"/>
      <x:c r="E66" s="517"/>
      <x:c r="F66" s="517"/>
      <x:c r="G66" s="517"/>
      <x:c r="H66" s="517"/>
      <x:c r="I66" s="517"/>
      <x:c r="J66" s="518"/>
      <x:c r="K66" s="519"/>
      <x:c r="L66" s="520"/>
      <x:c r="M66" s="520"/>
      <x:c r="N66" s="521" t="str">
        <x:f>IF(OR(B66="",C66=""),"",MAX(0,(C66-B66)*24))</x:f>
      </x:c>
      <x:c r="O66" s="521" t="str">
        <x:f>IF(OR(C66="",D66=""),"",MAX(0,(D66-C66)*24))</x:f>
      </x:c>
      <x:c r="P66" s="521" t="str">
        <x:f>IF(OR(D66="",E66=""),"",MAX(0,(E66-D66)*24))</x:f>
      </x:c>
      <x:c r="Q66" s="521" t="str">
        <x:f>IF(OR(F66="",G66=""),"",MAX(0,(G66-F66)*24))</x:f>
      </x:c>
      <x:c r="R66" s="521" t="str">
        <x:f>IF(OR(G66="",H66=""),"",MAX(0,(H66-G66)*24))</x:f>
      </x:c>
      <x:c r="S66" s="521" t="str">
        <x:f>IF(OR(H66="",I66=""),"",MAX(0,(I66-H66)*24))</x:f>
      </x:c>
      <x:c r="T66" s="521" t="str">
        <x:f>IF(OR(B66="",I66=""),"",MAX(0,(I66-B66)*24))</x:f>
      </x:c>
    </x:row>
    <x:row r="67" ht="20" customHeight="1">
      <x:c r="A67" s="516"/>
      <x:c r="B67" s="517"/>
      <x:c r="C67" s="517"/>
      <x:c r="D67" s="517"/>
      <x:c r="E67" s="517"/>
      <x:c r="F67" s="517"/>
      <x:c r="G67" s="517"/>
      <x:c r="H67" s="517"/>
      <x:c r="I67" s="517"/>
      <x:c r="J67" s="518"/>
      <x:c r="K67" s="519"/>
      <x:c r="L67" s="520"/>
      <x:c r="M67" s="520"/>
      <x:c r="N67" s="521" t="str">
        <x:f>IF(OR(B67="",C67=""),"",MAX(0,(C67-B67)*24))</x:f>
      </x:c>
      <x:c r="O67" s="521" t="str">
        <x:f>IF(OR(C67="",D67=""),"",MAX(0,(D67-C67)*24))</x:f>
      </x:c>
      <x:c r="P67" s="521" t="str">
        <x:f>IF(OR(D67="",E67=""),"",MAX(0,(E67-D67)*24))</x:f>
      </x:c>
      <x:c r="Q67" s="521" t="str">
        <x:f>IF(OR(F67="",G67=""),"",MAX(0,(G67-F67)*24))</x:f>
      </x:c>
      <x:c r="R67" s="521" t="str">
        <x:f>IF(OR(G67="",H67=""),"",MAX(0,(H67-G67)*24))</x:f>
      </x:c>
      <x:c r="S67" s="521" t="str">
        <x:f>IF(OR(H67="",I67=""),"",MAX(0,(I67-H67)*24))</x:f>
      </x:c>
      <x:c r="T67" s="521" t="str">
        <x:f>IF(OR(B67="",I67=""),"",MAX(0,(I67-B67)*24))</x:f>
      </x:c>
    </x:row>
    <x:row r="68" ht="20" customHeight="1">
      <x:c r="A68" s="516"/>
      <x:c r="B68" s="517"/>
      <x:c r="C68" s="517"/>
      <x:c r="D68" s="517"/>
      <x:c r="E68" s="517"/>
      <x:c r="F68" s="517"/>
      <x:c r="G68" s="517"/>
      <x:c r="H68" s="517"/>
      <x:c r="I68" s="517"/>
      <x:c r="J68" s="518"/>
      <x:c r="K68" s="519"/>
      <x:c r="L68" s="520"/>
      <x:c r="M68" s="520"/>
      <x:c r="N68" s="521" t="str">
        <x:f>IF(OR(B68="",C68=""),"",MAX(0,(C68-B68)*24))</x:f>
      </x:c>
      <x:c r="O68" s="521" t="str">
        <x:f>IF(OR(C68="",D68=""),"",MAX(0,(D68-C68)*24))</x:f>
      </x:c>
      <x:c r="P68" s="521" t="str">
        <x:f>IF(OR(D68="",E68=""),"",MAX(0,(E68-D68)*24))</x:f>
      </x:c>
      <x:c r="Q68" s="521" t="str">
        <x:f>IF(OR(F68="",G68=""),"",MAX(0,(G68-F68)*24))</x:f>
      </x:c>
      <x:c r="R68" s="521" t="str">
        <x:f>IF(OR(G68="",H68=""),"",MAX(0,(H68-G68)*24))</x:f>
      </x:c>
      <x:c r="S68" s="521" t="str">
        <x:f>IF(OR(H68="",I68=""),"",MAX(0,(I68-H68)*24))</x:f>
      </x:c>
      <x:c r="T68" s="521" t="str">
        <x:f>IF(OR(B68="",I68=""),"",MAX(0,(I68-B68)*24))</x:f>
      </x:c>
    </x:row>
    <x:row r="69" ht="20" customHeight="1">
      <x:c r="A69" s="516"/>
      <x:c r="B69" s="517"/>
      <x:c r="C69" s="517"/>
      <x:c r="D69" s="517"/>
      <x:c r="E69" s="517"/>
      <x:c r="F69" s="517"/>
      <x:c r="G69" s="517"/>
      <x:c r="H69" s="517"/>
      <x:c r="I69" s="517"/>
      <x:c r="J69" s="518"/>
      <x:c r="K69" s="519"/>
      <x:c r="L69" s="520"/>
      <x:c r="M69" s="520"/>
      <x:c r="N69" s="521" t="str">
        <x:f>IF(OR(B69="",C69=""),"",MAX(0,(C69-B69)*24))</x:f>
      </x:c>
      <x:c r="O69" s="521" t="str">
        <x:f>IF(OR(C69="",D69=""),"",MAX(0,(D69-C69)*24))</x:f>
      </x:c>
      <x:c r="P69" s="521" t="str">
        <x:f>IF(OR(D69="",E69=""),"",MAX(0,(E69-D69)*24))</x:f>
      </x:c>
      <x:c r="Q69" s="521" t="str">
        <x:f>IF(OR(F69="",G69=""),"",MAX(0,(G69-F69)*24))</x:f>
      </x:c>
      <x:c r="R69" s="521" t="str">
        <x:f>IF(OR(G69="",H69=""),"",MAX(0,(H69-G69)*24))</x:f>
      </x:c>
      <x:c r="S69" s="521" t="str">
        <x:f>IF(OR(H69="",I69=""),"",MAX(0,(I69-H69)*24))</x:f>
      </x:c>
      <x:c r="T69" s="521" t="str">
        <x:f>IF(OR(B69="",I69=""),"",MAX(0,(I69-B69)*24))</x:f>
      </x:c>
    </x:row>
    <x:row r="70" ht="20" customHeight="1">
      <x:c r="A70" s="516"/>
      <x:c r="B70" s="517"/>
      <x:c r="C70" s="517"/>
      <x:c r="D70" s="517"/>
      <x:c r="E70" s="517"/>
      <x:c r="F70" s="517"/>
      <x:c r="G70" s="517"/>
      <x:c r="H70" s="517"/>
      <x:c r="I70" s="517"/>
      <x:c r="J70" s="518"/>
      <x:c r="K70" s="519"/>
      <x:c r="L70" s="520"/>
      <x:c r="M70" s="520"/>
      <x:c r="N70" s="521" t="str">
        <x:f>IF(OR(B70="",C70=""),"",MAX(0,(C70-B70)*24))</x:f>
      </x:c>
      <x:c r="O70" s="521" t="str">
        <x:f>IF(OR(C70="",D70=""),"",MAX(0,(D70-C70)*24))</x:f>
      </x:c>
      <x:c r="P70" s="521" t="str">
        <x:f>IF(OR(D70="",E70=""),"",MAX(0,(E70-D70)*24))</x:f>
      </x:c>
      <x:c r="Q70" s="521" t="str">
        <x:f>IF(OR(F70="",G70=""),"",MAX(0,(G70-F70)*24))</x:f>
      </x:c>
      <x:c r="R70" s="521" t="str">
        <x:f>IF(OR(G70="",H70=""),"",MAX(0,(H70-G70)*24))</x:f>
      </x:c>
      <x:c r="S70" s="521" t="str">
        <x:f>IF(OR(H70="",I70=""),"",MAX(0,(I70-H70)*24))</x:f>
      </x:c>
      <x:c r="T70" s="521" t="str">
        <x:f>IF(OR(B70="",I70=""),"",MAX(0,(I70-B70)*24))</x:f>
      </x:c>
    </x:row>
    <x:row r="71" ht="20" customHeight="1">
      <x:c r="A71" s="516"/>
      <x:c r="B71" s="517"/>
      <x:c r="C71" s="517"/>
      <x:c r="D71" s="517"/>
      <x:c r="E71" s="517"/>
      <x:c r="F71" s="517"/>
      <x:c r="G71" s="517"/>
      <x:c r="H71" s="517"/>
      <x:c r="I71" s="517"/>
      <x:c r="J71" s="518"/>
      <x:c r="K71" s="519"/>
      <x:c r="L71" s="520"/>
      <x:c r="M71" s="520"/>
      <x:c r="N71" s="521" t="str">
        <x:f>IF(OR(B71="",C71=""),"",MAX(0,(C71-B71)*24))</x:f>
      </x:c>
      <x:c r="O71" s="521" t="str">
        <x:f>IF(OR(C71="",D71=""),"",MAX(0,(D71-C71)*24))</x:f>
      </x:c>
      <x:c r="P71" s="521" t="str">
        <x:f>IF(OR(D71="",E71=""),"",MAX(0,(E71-D71)*24))</x:f>
      </x:c>
      <x:c r="Q71" s="521" t="str">
        <x:f>IF(OR(F71="",G71=""),"",MAX(0,(G71-F71)*24))</x:f>
      </x:c>
      <x:c r="R71" s="521" t="str">
        <x:f>IF(OR(G71="",H71=""),"",MAX(0,(H71-G71)*24))</x:f>
      </x:c>
      <x:c r="S71" s="521" t="str">
        <x:f>IF(OR(H71="",I71=""),"",MAX(0,(I71-H71)*24))</x:f>
      </x:c>
      <x:c r="T71" s="521" t="str">
        <x:f>IF(OR(B71="",I71=""),"",MAX(0,(I71-B71)*24))</x:f>
      </x:c>
    </x:row>
    <x:row r="72" ht="20" customHeight="1">
      <x:c r="A72" s="516"/>
      <x:c r="B72" s="517"/>
      <x:c r="C72" s="517"/>
      <x:c r="D72" s="517"/>
      <x:c r="E72" s="517"/>
      <x:c r="F72" s="517"/>
      <x:c r="G72" s="517"/>
      <x:c r="H72" s="517"/>
      <x:c r="I72" s="517"/>
      <x:c r="J72" s="518"/>
      <x:c r="K72" s="519"/>
      <x:c r="L72" s="520"/>
      <x:c r="M72" s="520"/>
      <x:c r="N72" s="521" t="str">
        <x:f>IF(OR(B72="",C72=""),"",MAX(0,(C72-B72)*24))</x:f>
      </x:c>
      <x:c r="O72" s="521" t="str">
        <x:f>IF(OR(C72="",D72=""),"",MAX(0,(D72-C72)*24))</x:f>
      </x:c>
      <x:c r="P72" s="521" t="str">
        <x:f>IF(OR(D72="",E72=""),"",MAX(0,(E72-D72)*24))</x:f>
      </x:c>
      <x:c r="Q72" s="521" t="str">
        <x:f>IF(OR(F72="",G72=""),"",MAX(0,(G72-F72)*24))</x:f>
      </x:c>
      <x:c r="R72" s="521" t="str">
        <x:f>IF(OR(G72="",H72=""),"",MAX(0,(H72-G72)*24))</x:f>
      </x:c>
      <x:c r="S72" s="521" t="str">
        <x:f>IF(OR(H72="",I72=""),"",MAX(0,(I72-H72)*24))</x:f>
      </x:c>
      <x:c r="T72" s="521" t="str">
        <x:f>IF(OR(B72="",I72=""),"",MAX(0,(I72-B72)*24))</x:f>
      </x:c>
    </x:row>
    <x:row r="73" ht="20" customHeight="1">
      <x:c r="A73" s="516"/>
      <x:c r="B73" s="517"/>
      <x:c r="C73" s="517"/>
      <x:c r="D73" s="517"/>
      <x:c r="E73" s="517"/>
      <x:c r="F73" s="517"/>
      <x:c r="G73" s="517"/>
      <x:c r="H73" s="517"/>
      <x:c r="I73" s="517"/>
      <x:c r="J73" s="518"/>
      <x:c r="K73" s="519"/>
      <x:c r="L73" s="520"/>
      <x:c r="M73" s="520"/>
      <x:c r="N73" s="521" t="str">
        <x:f>IF(OR(B73="",C73=""),"",MAX(0,(C73-B73)*24))</x:f>
      </x:c>
      <x:c r="O73" s="521" t="str">
        <x:f>IF(OR(C73="",D73=""),"",MAX(0,(D73-C73)*24))</x:f>
      </x:c>
      <x:c r="P73" s="521" t="str">
        <x:f>IF(OR(D73="",E73=""),"",MAX(0,(E73-D73)*24))</x:f>
      </x:c>
      <x:c r="Q73" s="521" t="str">
        <x:f>IF(OR(F73="",G73=""),"",MAX(0,(G73-F73)*24))</x:f>
      </x:c>
      <x:c r="R73" s="521" t="str">
        <x:f>IF(OR(G73="",H73=""),"",MAX(0,(H73-G73)*24))</x:f>
      </x:c>
      <x:c r="S73" s="521" t="str">
        <x:f>IF(OR(H73="",I73=""),"",MAX(0,(I73-H73)*24))</x:f>
      </x:c>
      <x:c r="T73" s="521" t="str">
        <x:f>IF(OR(B73="",I73=""),"",MAX(0,(I73-B73)*24))</x:f>
      </x:c>
    </x:row>
    <x:row r="74" ht="20" customHeight="1">
      <x:c r="A74" s="516"/>
      <x:c r="B74" s="517"/>
      <x:c r="C74" s="517"/>
      <x:c r="D74" s="517"/>
      <x:c r="E74" s="517"/>
      <x:c r="F74" s="517"/>
      <x:c r="G74" s="517"/>
      <x:c r="H74" s="517"/>
      <x:c r="I74" s="517"/>
      <x:c r="J74" s="518"/>
      <x:c r="K74" s="519"/>
      <x:c r="L74" s="520"/>
      <x:c r="M74" s="520"/>
      <x:c r="N74" s="521" t="str">
        <x:f>IF(OR(B74="",C74=""),"",MAX(0,(C74-B74)*24))</x:f>
      </x:c>
      <x:c r="O74" s="521" t="str">
        <x:f>IF(OR(C74="",D74=""),"",MAX(0,(D74-C74)*24))</x:f>
      </x:c>
      <x:c r="P74" s="521" t="str">
        <x:f>IF(OR(D74="",E74=""),"",MAX(0,(E74-D74)*24))</x:f>
      </x:c>
      <x:c r="Q74" s="521" t="str">
        <x:f>IF(OR(F74="",G74=""),"",MAX(0,(G74-F74)*24))</x:f>
      </x:c>
      <x:c r="R74" s="521" t="str">
        <x:f>IF(OR(G74="",H74=""),"",MAX(0,(H74-G74)*24))</x:f>
      </x:c>
      <x:c r="S74" s="521" t="str">
        <x:f>IF(OR(H74="",I74=""),"",MAX(0,(I74-H74)*24))</x:f>
      </x:c>
      <x:c r="T74" s="521" t="str">
        <x:f>IF(OR(B74="",I74=""),"",MAX(0,(I74-B74)*24))</x:f>
      </x:c>
    </x:row>
    <x:row r="75" ht="20" customHeight="1">
      <x:c r="A75" s="516"/>
      <x:c r="B75" s="517"/>
      <x:c r="C75" s="517"/>
      <x:c r="D75" s="517"/>
      <x:c r="E75" s="517"/>
      <x:c r="F75" s="517"/>
      <x:c r="G75" s="517"/>
      <x:c r="H75" s="517"/>
      <x:c r="I75" s="517"/>
      <x:c r="J75" s="518"/>
      <x:c r="K75" s="519"/>
      <x:c r="L75" s="520"/>
      <x:c r="M75" s="520"/>
      <x:c r="N75" s="521" t="str">
        <x:f>IF(OR(B75="",C75=""),"",MAX(0,(C75-B75)*24))</x:f>
      </x:c>
      <x:c r="O75" s="521" t="str">
        <x:f>IF(OR(C75="",D75=""),"",MAX(0,(D75-C75)*24))</x:f>
      </x:c>
      <x:c r="P75" s="521" t="str">
        <x:f>IF(OR(D75="",E75=""),"",MAX(0,(E75-D75)*24))</x:f>
      </x:c>
      <x:c r="Q75" s="521" t="str">
        <x:f>IF(OR(F75="",G75=""),"",MAX(0,(G75-F75)*24))</x:f>
      </x:c>
      <x:c r="R75" s="521" t="str">
        <x:f>IF(OR(G75="",H75=""),"",MAX(0,(H75-G75)*24))</x:f>
      </x:c>
      <x:c r="S75" s="521" t="str">
        <x:f>IF(OR(H75="",I75=""),"",MAX(0,(I75-H75)*24))</x:f>
      </x:c>
      <x:c r="T75" s="521" t="str">
        <x:f>IF(OR(B75="",I75=""),"",MAX(0,(I75-B75)*24))</x:f>
      </x:c>
    </x:row>
    <x:row r="76" ht="20" customHeight="1">
      <x:c r="A76" s="516"/>
      <x:c r="B76" s="517"/>
      <x:c r="C76" s="517"/>
      <x:c r="D76" s="517"/>
      <x:c r="E76" s="517"/>
      <x:c r="F76" s="517"/>
      <x:c r="G76" s="517"/>
      <x:c r="H76" s="517"/>
      <x:c r="I76" s="517"/>
      <x:c r="J76" s="518"/>
      <x:c r="K76" s="519"/>
      <x:c r="L76" s="520"/>
      <x:c r="M76" s="520"/>
      <x:c r="N76" s="521" t="str">
        <x:f>IF(OR(B76="",C76=""),"",MAX(0,(C76-B76)*24))</x:f>
      </x:c>
      <x:c r="O76" s="521" t="str">
        <x:f>IF(OR(C76="",D76=""),"",MAX(0,(D76-C76)*24))</x:f>
      </x:c>
      <x:c r="P76" s="521" t="str">
        <x:f>IF(OR(D76="",E76=""),"",MAX(0,(E76-D76)*24))</x:f>
      </x:c>
      <x:c r="Q76" s="521" t="str">
        <x:f>IF(OR(F76="",G76=""),"",MAX(0,(G76-F76)*24))</x:f>
      </x:c>
      <x:c r="R76" s="521" t="str">
        <x:f>IF(OR(G76="",H76=""),"",MAX(0,(H76-G76)*24))</x:f>
      </x:c>
      <x:c r="S76" s="521" t="str">
        <x:f>IF(OR(H76="",I76=""),"",MAX(0,(I76-H76)*24))</x:f>
      </x:c>
      <x:c r="T76" s="521" t="str">
        <x:f>IF(OR(B76="",I76=""),"",MAX(0,(I76-B76)*24))</x:f>
      </x:c>
    </x:row>
    <x:row r="77" ht="20" customHeight="1">
      <x:c r="A77" s="516"/>
      <x:c r="B77" s="517"/>
      <x:c r="C77" s="517"/>
      <x:c r="D77" s="517"/>
      <x:c r="E77" s="517"/>
      <x:c r="F77" s="517"/>
      <x:c r="G77" s="517"/>
      <x:c r="H77" s="517"/>
      <x:c r="I77" s="517"/>
      <x:c r="J77" s="518"/>
      <x:c r="K77" s="519"/>
      <x:c r="L77" s="520"/>
      <x:c r="M77" s="520"/>
      <x:c r="N77" s="521" t="str">
        <x:f>IF(OR(B77="",C77=""),"",MAX(0,(C77-B77)*24))</x:f>
      </x:c>
      <x:c r="O77" s="521" t="str">
        <x:f>IF(OR(C77="",D77=""),"",MAX(0,(D77-C77)*24))</x:f>
      </x:c>
      <x:c r="P77" s="521" t="str">
        <x:f>IF(OR(D77="",E77=""),"",MAX(0,(E77-D77)*24))</x:f>
      </x:c>
      <x:c r="Q77" s="521" t="str">
        <x:f>IF(OR(F77="",G77=""),"",MAX(0,(G77-F77)*24))</x:f>
      </x:c>
      <x:c r="R77" s="521" t="str">
        <x:f>IF(OR(G77="",H77=""),"",MAX(0,(H77-G77)*24))</x:f>
      </x:c>
      <x:c r="S77" s="521" t="str">
        <x:f>IF(OR(H77="",I77=""),"",MAX(0,(I77-H77)*24))</x:f>
      </x:c>
      <x:c r="T77" s="521" t="str">
        <x:f>IF(OR(B77="",I77=""),"",MAX(0,(I77-B77)*24))</x:f>
      </x:c>
    </x:row>
    <x:row r="78" ht="20" customHeight="1">
      <x:c r="A78" s="516"/>
      <x:c r="B78" s="517"/>
      <x:c r="C78" s="517"/>
      <x:c r="D78" s="517"/>
      <x:c r="E78" s="517"/>
      <x:c r="F78" s="517"/>
      <x:c r="G78" s="517"/>
      <x:c r="H78" s="517"/>
      <x:c r="I78" s="517"/>
      <x:c r="J78" s="518"/>
      <x:c r="K78" s="519"/>
      <x:c r="L78" s="520"/>
      <x:c r="M78" s="520"/>
      <x:c r="N78" s="521" t="str">
        <x:f>IF(OR(B78="",C78=""),"",MAX(0,(C78-B78)*24))</x:f>
      </x:c>
      <x:c r="O78" s="521" t="str">
        <x:f>IF(OR(C78="",D78=""),"",MAX(0,(D78-C78)*24))</x:f>
      </x:c>
      <x:c r="P78" s="521" t="str">
        <x:f>IF(OR(D78="",E78=""),"",MAX(0,(E78-D78)*24))</x:f>
      </x:c>
      <x:c r="Q78" s="521" t="str">
        <x:f>IF(OR(F78="",G78=""),"",MAX(0,(G78-F78)*24))</x:f>
      </x:c>
      <x:c r="R78" s="521" t="str">
        <x:f>IF(OR(G78="",H78=""),"",MAX(0,(H78-G78)*24))</x:f>
      </x:c>
      <x:c r="S78" s="521" t="str">
        <x:f>IF(OR(H78="",I78=""),"",MAX(0,(I78-H78)*24))</x:f>
      </x:c>
      <x:c r="T78" s="521" t="str">
        <x:f>IF(OR(B78="",I78=""),"",MAX(0,(I78-B78)*24))</x:f>
      </x:c>
    </x:row>
    <x:row r="79" ht="20" customHeight="1">
      <x:c r="A79" s="516"/>
      <x:c r="B79" s="517"/>
      <x:c r="C79" s="517"/>
      <x:c r="D79" s="517"/>
      <x:c r="E79" s="517"/>
      <x:c r="F79" s="517"/>
      <x:c r="G79" s="517"/>
      <x:c r="H79" s="517"/>
      <x:c r="I79" s="517"/>
      <x:c r="J79" s="518"/>
      <x:c r="K79" s="519"/>
      <x:c r="L79" s="520"/>
      <x:c r="M79" s="520"/>
      <x:c r="N79" s="521" t="str">
        <x:f>IF(OR(B79="",C79=""),"",MAX(0,(C79-B79)*24))</x:f>
      </x:c>
      <x:c r="O79" s="521" t="str">
        <x:f>IF(OR(C79="",D79=""),"",MAX(0,(D79-C79)*24))</x:f>
      </x:c>
      <x:c r="P79" s="521" t="str">
        <x:f>IF(OR(D79="",E79=""),"",MAX(0,(E79-D79)*24))</x:f>
      </x:c>
      <x:c r="Q79" s="521" t="str">
        <x:f>IF(OR(F79="",G79=""),"",MAX(0,(G79-F79)*24))</x:f>
      </x:c>
      <x:c r="R79" s="521" t="str">
        <x:f>IF(OR(G79="",H79=""),"",MAX(0,(H79-G79)*24))</x:f>
      </x:c>
      <x:c r="S79" s="521" t="str">
        <x:f>IF(OR(H79="",I79=""),"",MAX(0,(I79-H79)*24))</x:f>
      </x:c>
      <x:c r="T79" s="521" t="str">
        <x:f>IF(OR(B79="",I79=""),"",MAX(0,(I79-B79)*24))</x:f>
      </x:c>
    </x:row>
    <x:row r="80" ht="20" customHeight="1">
      <x:c r="A80" s="516"/>
      <x:c r="B80" s="517"/>
      <x:c r="C80" s="517"/>
      <x:c r="D80" s="517"/>
      <x:c r="E80" s="517"/>
      <x:c r="F80" s="517"/>
      <x:c r="G80" s="517"/>
      <x:c r="H80" s="517"/>
      <x:c r="I80" s="517"/>
      <x:c r="J80" s="518"/>
      <x:c r="K80" s="519"/>
      <x:c r="L80" s="520"/>
      <x:c r="M80" s="520"/>
      <x:c r="N80" s="521" t="str">
        <x:f>IF(OR(B80="",C80=""),"",MAX(0,(C80-B80)*24))</x:f>
      </x:c>
      <x:c r="O80" s="521" t="str">
        <x:f>IF(OR(C80="",D80=""),"",MAX(0,(D80-C80)*24))</x:f>
      </x:c>
      <x:c r="P80" s="521" t="str">
        <x:f>IF(OR(D80="",E80=""),"",MAX(0,(E80-D80)*24))</x:f>
      </x:c>
      <x:c r="Q80" s="521" t="str">
        <x:f>IF(OR(F80="",G80=""),"",MAX(0,(G80-F80)*24))</x:f>
      </x:c>
      <x:c r="R80" s="521" t="str">
        <x:f>IF(OR(G80="",H80=""),"",MAX(0,(H80-G80)*24))</x:f>
      </x:c>
      <x:c r="S80" s="521" t="str">
        <x:f>IF(OR(H80="",I80=""),"",MAX(0,(I80-H80)*24))</x:f>
      </x:c>
      <x:c r="T80" s="521" t="str">
        <x:f>IF(OR(B80="",I80=""),"",MAX(0,(I80-B80)*24))</x:f>
      </x:c>
    </x:row>
    <x:row r="81" ht="20" customHeight="1">
      <x:c r="A81" s="516"/>
      <x:c r="B81" s="517"/>
      <x:c r="C81" s="517"/>
      <x:c r="D81" s="517"/>
      <x:c r="E81" s="517"/>
      <x:c r="F81" s="517"/>
      <x:c r="G81" s="517"/>
      <x:c r="H81" s="517"/>
      <x:c r="I81" s="517"/>
      <x:c r="J81" s="518"/>
      <x:c r="K81" s="519"/>
      <x:c r="L81" s="520"/>
      <x:c r="M81" s="520"/>
      <x:c r="N81" s="521" t="str">
        <x:f>IF(OR(B81="",C81=""),"",MAX(0,(C81-B81)*24))</x:f>
      </x:c>
      <x:c r="O81" s="521" t="str">
        <x:f>IF(OR(C81="",D81=""),"",MAX(0,(D81-C81)*24))</x:f>
      </x:c>
      <x:c r="P81" s="521" t="str">
        <x:f>IF(OR(D81="",E81=""),"",MAX(0,(E81-D81)*24))</x:f>
      </x:c>
      <x:c r="Q81" s="521" t="str">
        <x:f>IF(OR(F81="",G81=""),"",MAX(0,(G81-F81)*24))</x:f>
      </x:c>
      <x:c r="R81" s="521" t="str">
        <x:f>IF(OR(G81="",H81=""),"",MAX(0,(H81-G81)*24))</x:f>
      </x:c>
      <x:c r="S81" s="521" t="str">
        <x:f>IF(OR(H81="",I81=""),"",MAX(0,(I81-H81)*24))</x:f>
      </x:c>
      <x:c r="T81" s="521" t="str">
        <x:f>IF(OR(B81="",I81=""),"",MAX(0,(I81-B81)*24))</x:f>
      </x:c>
    </x:row>
    <x:row r="82" ht="20" customHeight="1">
      <x:c r="A82" s="516"/>
      <x:c r="B82" s="517"/>
      <x:c r="C82" s="517"/>
      <x:c r="D82" s="517"/>
      <x:c r="E82" s="517"/>
      <x:c r="F82" s="517"/>
      <x:c r="G82" s="517"/>
      <x:c r="H82" s="517"/>
      <x:c r="I82" s="517"/>
      <x:c r="J82" s="518"/>
      <x:c r="K82" s="519"/>
      <x:c r="L82" s="520"/>
      <x:c r="M82" s="520"/>
      <x:c r="N82" s="521" t="str">
        <x:f>IF(OR(B82="",C82=""),"",MAX(0,(C82-B82)*24))</x:f>
      </x:c>
      <x:c r="O82" s="521" t="str">
        <x:f>IF(OR(C82="",D82=""),"",MAX(0,(D82-C82)*24))</x:f>
      </x:c>
      <x:c r="P82" s="521" t="str">
        <x:f>IF(OR(D82="",E82=""),"",MAX(0,(E82-D82)*24))</x:f>
      </x:c>
      <x:c r="Q82" s="521" t="str">
        <x:f>IF(OR(F82="",G82=""),"",MAX(0,(G82-F82)*24))</x:f>
      </x:c>
      <x:c r="R82" s="521" t="str">
        <x:f>IF(OR(G82="",H82=""),"",MAX(0,(H82-G82)*24))</x:f>
      </x:c>
      <x:c r="S82" s="521" t="str">
        <x:f>IF(OR(H82="",I82=""),"",MAX(0,(I82-H82)*24))</x:f>
      </x:c>
      <x:c r="T82" s="521" t="str">
        <x:f>IF(OR(B82="",I82=""),"",MAX(0,(I82-B82)*24))</x:f>
      </x:c>
    </x:row>
    <x:row r="83" ht="20" customHeight="1">
      <x:c r="A83" s="516"/>
      <x:c r="B83" s="517"/>
      <x:c r="C83" s="517"/>
      <x:c r="D83" s="517"/>
      <x:c r="E83" s="517"/>
      <x:c r="F83" s="517"/>
      <x:c r="G83" s="517"/>
      <x:c r="H83" s="517"/>
      <x:c r="I83" s="517"/>
      <x:c r="J83" s="518"/>
      <x:c r="K83" s="519"/>
      <x:c r="L83" s="520"/>
      <x:c r="M83" s="520"/>
      <x:c r="N83" s="521" t="str">
        <x:f>IF(OR(B83="",C83=""),"",MAX(0,(C83-B83)*24))</x:f>
      </x:c>
      <x:c r="O83" s="521" t="str">
        <x:f>IF(OR(C83="",D83=""),"",MAX(0,(D83-C83)*24))</x:f>
      </x:c>
      <x:c r="P83" s="521" t="str">
        <x:f>IF(OR(D83="",E83=""),"",MAX(0,(E83-D83)*24))</x:f>
      </x:c>
      <x:c r="Q83" s="521" t="str">
        <x:f>IF(OR(F83="",G83=""),"",MAX(0,(G83-F83)*24))</x:f>
      </x:c>
      <x:c r="R83" s="521" t="str">
        <x:f>IF(OR(G83="",H83=""),"",MAX(0,(H83-G83)*24))</x:f>
      </x:c>
      <x:c r="S83" s="521" t="str">
        <x:f>IF(OR(H83="",I83=""),"",MAX(0,(I83-H83)*24))</x:f>
      </x:c>
      <x:c r="T83" s="521" t="str">
        <x:f>IF(OR(B83="",I83=""),"",MAX(0,(I83-B83)*24))</x:f>
      </x:c>
    </x:row>
    <x:row r="84" ht="20" customHeight="1">
      <x:c r="A84" s="516"/>
      <x:c r="B84" s="517"/>
      <x:c r="C84" s="517"/>
      <x:c r="D84" s="517"/>
      <x:c r="E84" s="517"/>
      <x:c r="F84" s="517"/>
      <x:c r="G84" s="517"/>
      <x:c r="H84" s="517"/>
      <x:c r="I84" s="517"/>
      <x:c r="J84" s="518"/>
      <x:c r="K84" s="519"/>
      <x:c r="L84" s="520"/>
      <x:c r="M84" s="520"/>
      <x:c r="N84" s="521" t="str">
        <x:f>IF(OR(B84="",C84=""),"",MAX(0,(C84-B84)*24))</x:f>
      </x:c>
      <x:c r="O84" s="521" t="str">
        <x:f>IF(OR(C84="",D84=""),"",MAX(0,(D84-C84)*24))</x:f>
      </x:c>
      <x:c r="P84" s="521" t="str">
        <x:f>IF(OR(D84="",E84=""),"",MAX(0,(E84-D84)*24))</x:f>
      </x:c>
      <x:c r="Q84" s="521" t="str">
        <x:f>IF(OR(F84="",G84=""),"",MAX(0,(G84-F84)*24))</x:f>
      </x:c>
      <x:c r="R84" s="521" t="str">
        <x:f>IF(OR(G84="",H84=""),"",MAX(0,(H84-G84)*24))</x:f>
      </x:c>
      <x:c r="S84" s="521" t="str">
        <x:f>IF(OR(H84="",I84=""),"",MAX(0,(I84-H84)*24))</x:f>
      </x:c>
      <x:c r="T84" s="521" t="str">
        <x:f>IF(OR(B84="",I84=""),"",MAX(0,(I84-B84)*24))</x:f>
      </x:c>
    </x:row>
    <x:row r="85" ht="20" customHeight="1">
      <x:c r="A85" s="516"/>
      <x:c r="B85" s="517"/>
      <x:c r="C85" s="517"/>
      <x:c r="D85" s="517"/>
      <x:c r="E85" s="517"/>
      <x:c r="F85" s="517"/>
      <x:c r="G85" s="517"/>
      <x:c r="H85" s="517"/>
      <x:c r="I85" s="517"/>
      <x:c r="J85" s="518"/>
      <x:c r="K85" s="519"/>
      <x:c r="L85" s="520"/>
      <x:c r="M85" s="520"/>
      <x:c r="N85" s="521" t="str">
        <x:f>IF(OR(B85="",C85=""),"",MAX(0,(C85-B85)*24))</x:f>
      </x:c>
      <x:c r="O85" s="521" t="str">
        <x:f>IF(OR(C85="",D85=""),"",MAX(0,(D85-C85)*24))</x:f>
      </x:c>
      <x:c r="P85" s="521" t="str">
        <x:f>IF(OR(D85="",E85=""),"",MAX(0,(E85-D85)*24))</x:f>
      </x:c>
      <x:c r="Q85" s="521" t="str">
        <x:f>IF(OR(F85="",G85=""),"",MAX(0,(G85-F85)*24))</x:f>
      </x:c>
      <x:c r="R85" s="521" t="str">
        <x:f>IF(OR(G85="",H85=""),"",MAX(0,(H85-G85)*24))</x:f>
      </x:c>
      <x:c r="S85" s="521" t="str">
        <x:f>IF(OR(H85="",I85=""),"",MAX(0,(I85-H85)*24))</x:f>
      </x:c>
      <x:c r="T85" s="521" t="str">
        <x:f>IF(OR(B85="",I85=""),"",MAX(0,(I85-B85)*24))</x:f>
      </x:c>
    </x:row>
    <x:row r="86" ht="20" customHeight="1">
      <x:c r="A86" s="516"/>
      <x:c r="B86" s="517"/>
      <x:c r="C86" s="517"/>
      <x:c r="D86" s="517"/>
      <x:c r="E86" s="517"/>
      <x:c r="F86" s="517"/>
      <x:c r="G86" s="517"/>
      <x:c r="H86" s="517"/>
      <x:c r="I86" s="517"/>
      <x:c r="J86" s="518"/>
      <x:c r="K86" s="519"/>
      <x:c r="L86" s="520"/>
      <x:c r="M86" s="520"/>
      <x:c r="N86" s="521" t="str">
        <x:f>IF(OR(B86="",C86=""),"",MAX(0,(C86-B86)*24))</x:f>
      </x:c>
      <x:c r="O86" s="521" t="str">
        <x:f>IF(OR(C86="",D86=""),"",MAX(0,(D86-C86)*24))</x:f>
      </x:c>
      <x:c r="P86" s="521" t="str">
        <x:f>IF(OR(D86="",E86=""),"",MAX(0,(E86-D86)*24))</x:f>
      </x:c>
      <x:c r="Q86" s="521" t="str">
        <x:f>IF(OR(F86="",G86=""),"",MAX(0,(G86-F86)*24))</x:f>
      </x:c>
      <x:c r="R86" s="521" t="str">
        <x:f>IF(OR(G86="",H86=""),"",MAX(0,(H86-G86)*24))</x:f>
      </x:c>
      <x:c r="S86" s="521" t="str">
        <x:f>IF(OR(H86="",I86=""),"",MAX(0,(I86-H86)*24))</x:f>
      </x:c>
      <x:c r="T86" s="521" t="str">
        <x:f>IF(OR(B86="",I86=""),"",MAX(0,(I86-B86)*24))</x:f>
      </x:c>
    </x:row>
    <x:row r="87" ht="20" customHeight="1">
      <x:c r="A87" s="516"/>
      <x:c r="B87" s="517"/>
      <x:c r="C87" s="517"/>
      <x:c r="D87" s="517"/>
      <x:c r="E87" s="517"/>
      <x:c r="F87" s="517"/>
      <x:c r="G87" s="517"/>
      <x:c r="H87" s="517"/>
      <x:c r="I87" s="517"/>
      <x:c r="J87" s="518"/>
      <x:c r="K87" s="519"/>
      <x:c r="L87" s="520"/>
      <x:c r="M87" s="520"/>
      <x:c r="N87" s="521" t="str">
        <x:f>IF(OR(B87="",C87=""),"",MAX(0,(C87-B87)*24))</x:f>
      </x:c>
      <x:c r="O87" s="521" t="str">
        <x:f>IF(OR(C87="",D87=""),"",MAX(0,(D87-C87)*24))</x:f>
      </x:c>
      <x:c r="P87" s="521" t="str">
        <x:f>IF(OR(D87="",E87=""),"",MAX(0,(E87-D87)*24))</x:f>
      </x:c>
      <x:c r="Q87" s="521" t="str">
        <x:f>IF(OR(F87="",G87=""),"",MAX(0,(G87-F87)*24))</x:f>
      </x:c>
      <x:c r="R87" s="521" t="str">
        <x:f>IF(OR(G87="",H87=""),"",MAX(0,(H87-G87)*24))</x:f>
      </x:c>
      <x:c r="S87" s="521" t="str">
        <x:f>IF(OR(H87="",I87=""),"",MAX(0,(I87-H87)*24))</x:f>
      </x:c>
      <x:c r="T87" s="521" t="str">
        <x:f>IF(OR(B87="",I87=""),"",MAX(0,(I87-B87)*24))</x:f>
      </x:c>
    </x:row>
    <x:row r="88" ht="20" customHeight="1">
      <x:c r="A88" s="516"/>
      <x:c r="B88" s="517"/>
      <x:c r="C88" s="517"/>
      <x:c r="D88" s="517"/>
      <x:c r="E88" s="517"/>
      <x:c r="F88" s="517"/>
      <x:c r="G88" s="517"/>
      <x:c r="H88" s="517"/>
      <x:c r="I88" s="517"/>
      <x:c r="J88" s="518"/>
      <x:c r="K88" s="519"/>
      <x:c r="L88" s="520"/>
      <x:c r="M88" s="520"/>
      <x:c r="N88" s="521" t="str">
        <x:f>IF(OR(B88="",C88=""),"",MAX(0,(C88-B88)*24))</x:f>
      </x:c>
      <x:c r="O88" s="521" t="str">
        <x:f>IF(OR(C88="",D88=""),"",MAX(0,(D88-C88)*24))</x:f>
      </x:c>
      <x:c r="P88" s="521" t="str">
        <x:f>IF(OR(D88="",E88=""),"",MAX(0,(E88-D88)*24))</x:f>
      </x:c>
      <x:c r="Q88" s="521" t="str">
        <x:f>IF(OR(F88="",G88=""),"",MAX(0,(G88-F88)*24))</x:f>
      </x:c>
      <x:c r="R88" s="521" t="str">
        <x:f>IF(OR(G88="",H88=""),"",MAX(0,(H88-G88)*24))</x:f>
      </x:c>
      <x:c r="S88" s="521" t="str">
        <x:f>IF(OR(H88="",I88=""),"",MAX(0,(I88-H88)*24))</x:f>
      </x:c>
      <x:c r="T88" s="521" t="str">
        <x:f>IF(OR(B88="",I88=""),"",MAX(0,(I88-B88)*24))</x:f>
      </x:c>
    </x:row>
    <x:row r="89" ht="20" customHeight="1">
      <x:c r="A89" s="516"/>
      <x:c r="B89" s="517"/>
      <x:c r="C89" s="517"/>
      <x:c r="D89" s="517"/>
      <x:c r="E89" s="517"/>
      <x:c r="F89" s="517"/>
      <x:c r="G89" s="517"/>
      <x:c r="H89" s="517"/>
      <x:c r="I89" s="517"/>
      <x:c r="J89" s="518"/>
      <x:c r="K89" s="519"/>
      <x:c r="L89" s="520"/>
      <x:c r="M89" s="520"/>
      <x:c r="N89" s="521" t="str">
        <x:f>IF(OR(B89="",C89=""),"",MAX(0,(C89-B89)*24))</x:f>
      </x:c>
      <x:c r="O89" s="521" t="str">
        <x:f>IF(OR(C89="",D89=""),"",MAX(0,(D89-C89)*24))</x:f>
      </x:c>
      <x:c r="P89" s="521" t="str">
        <x:f>IF(OR(D89="",E89=""),"",MAX(0,(E89-D89)*24))</x:f>
      </x:c>
      <x:c r="Q89" s="521" t="str">
        <x:f>IF(OR(F89="",G89=""),"",MAX(0,(G89-F89)*24))</x:f>
      </x:c>
      <x:c r="R89" s="521" t="str">
        <x:f>IF(OR(G89="",H89=""),"",MAX(0,(H89-G89)*24))</x:f>
      </x:c>
      <x:c r="S89" s="521" t="str">
        <x:f>IF(OR(H89="",I89=""),"",MAX(0,(I89-H89)*24))</x:f>
      </x:c>
      <x:c r="T89" s="521" t="str">
        <x:f>IF(OR(B89="",I89=""),"",MAX(0,(I89-B89)*24))</x:f>
      </x:c>
    </x:row>
    <x:row r="90" ht="20" customHeight="1">
      <x:c r="A90" s="516"/>
      <x:c r="B90" s="517"/>
      <x:c r="C90" s="517"/>
      <x:c r="D90" s="517"/>
      <x:c r="E90" s="517"/>
      <x:c r="F90" s="517"/>
      <x:c r="G90" s="517"/>
      <x:c r="H90" s="517"/>
      <x:c r="I90" s="517"/>
      <x:c r="J90" s="518"/>
      <x:c r="K90" s="519"/>
      <x:c r="L90" s="520"/>
      <x:c r="M90" s="520"/>
      <x:c r="N90" s="521" t="str">
        <x:f>IF(OR(B90="",C90=""),"",MAX(0,(C90-B90)*24))</x:f>
      </x:c>
      <x:c r="O90" s="521" t="str">
        <x:f>IF(OR(C90="",D90=""),"",MAX(0,(D90-C90)*24))</x:f>
      </x:c>
      <x:c r="P90" s="521" t="str">
        <x:f>IF(OR(D90="",E90=""),"",MAX(0,(E90-D90)*24))</x:f>
      </x:c>
      <x:c r="Q90" s="521" t="str">
        <x:f>IF(OR(F90="",G90=""),"",MAX(0,(G90-F90)*24))</x:f>
      </x:c>
      <x:c r="R90" s="521" t="str">
        <x:f>IF(OR(G90="",H90=""),"",MAX(0,(H90-G90)*24))</x:f>
      </x:c>
      <x:c r="S90" s="521" t="str">
        <x:f>IF(OR(H90="",I90=""),"",MAX(0,(I90-H90)*24))</x:f>
      </x:c>
      <x:c r="T90" s="521" t="str">
        <x:f>IF(OR(B90="",I90=""),"",MAX(0,(I90-B90)*24))</x:f>
      </x:c>
    </x:row>
    <x:row r="91" ht="20" customHeight="1">
      <x:c r="A91" s="516"/>
      <x:c r="B91" s="517"/>
      <x:c r="C91" s="517"/>
      <x:c r="D91" s="517"/>
      <x:c r="E91" s="517"/>
      <x:c r="F91" s="517"/>
      <x:c r="G91" s="517"/>
      <x:c r="H91" s="517"/>
      <x:c r="I91" s="517"/>
      <x:c r="J91" s="518"/>
      <x:c r="K91" s="519"/>
      <x:c r="L91" s="520"/>
      <x:c r="M91" s="520"/>
      <x:c r="N91" s="521" t="str">
        <x:f>IF(OR(B91="",C91=""),"",MAX(0,(C91-B91)*24))</x:f>
      </x:c>
      <x:c r="O91" s="521" t="str">
        <x:f>IF(OR(C91="",D91=""),"",MAX(0,(D91-C91)*24))</x:f>
      </x:c>
      <x:c r="P91" s="521" t="str">
        <x:f>IF(OR(D91="",E91=""),"",MAX(0,(E91-D91)*24))</x:f>
      </x:c>
      <x:c r="Q91" s="521" t="str">
        <x:f>IF(OR(F91="",G91=""),"",MAX(0,(G91-F91)*24))</x:f>
      </x:c>
      <x:c r="R91" s="521" t="str">
        <x:f>IF(OR(G91="",H91=""),"",MAX(0,(H91-G91)*24))</x:f>
      </x:c>
      <x:c r="S91" s="521" t="str">
        <x:f>IF(OR(H91="",I91=""),"",MAX(0,(I91-H91)*24))</x:f>
      </x:c>
      <x:c r="T91" s="521" t="str">
        <x:f>IF(OR(B91="",I91=""),"",MAX(0,(I91-B91)*24))</x:f>
      </x:c>
    </x:row>
    <x:row r="92" ht="20" customHeight="1">
      <x:c r="A92" s="516"/>
      <x:c r="B92" s="517"/>
      <x:c r="C92" s="517"/>
      <x:c r="D92" s="517"/>
      <x:c r="E92" s="517"/>
      <x:c r="F92" s="517"/>
      <x:c r="G92" s="517"/>
      <x:c r="H92" s="517"/>
      <x:c r="I92" s="517"/>
      <x:c r="J92" s="518"/>
      <x:c r="K92" s="519"/>
      <x:c r="L92" s="520"/>
      <x:c r="M92" s="520"/>
      <x:c r="N92" s="521" t="str">
        <x:f>IF(OR(B92="",C92=""),"",MAX(0,(C92-B92)*24))</x:f>
      </x:c>
      <x:c r="O92" s="521" t="str">
        <x:f>IF(OR(C92="",D92=""),"",MAX(0,(D92-C92)*24))</x:f>
      </x:c>
      <x:c r="P92" s="521" t="str">
        <x:f>IF(OR(D92="",E92=""),"",MAX(0,(E92-D92)*24))</x:f>
      </x:c>
      <x:c r="Q92" s="521" t="str">
        <x:f>IF(OR(F92="",G92=""),"",MAX(0,(G92-F92)*24))</x:f>
      </x:c>
      <x:c r="R92" s="521" t="str">
        <x:f>IF(OR(G92="",H92=""),"",MAX(0,(H92-G92)*24))</x:f>
      </x:c>
      <x:c r="S92" s="521" t="str">
        <x:f>IF(OR(H92="",I92=""),"",MAX(0,(I92-H92)*24))</x:f>
      </x:c>
      <x:c r="T92" s="521" t="str">
        <x:f>IF(OR(B92="",I92=""),"",MAX(0,(I92-B92)*24))</x:f>
      </x:c>
    </x:row>
    <x:row r="93" ht="20" customHeight="1">
      <x:c r="A93" s="516"/>
      <x:c r="B93" s="517"/>
      <x:c r="C93" s="517"/>
      <x:c r="D93" s="517"/>
      <x:c r="E93" s="517"/>
      <x:c r="F93" s="517"/>
      <x:c r="G93" s="517"/>
      <x:c r="H93" s="517"/>
      <x:c r="I93" s="517"/>
      <x:c r="J93" s="518"/>
      <x:c r="K93" s="519"/>
      <x:c r="L93" s="520"/>
      <x:c r="M93" s="520"/>
      <x:c r="N93" s="521" t="str">
        <x:f>IF(OR(B93="",C93=""),"",MAX(0,(C93-B93)*24))</x:f>
      </x:c>
      <x:c r="O93" s="521" t="str">
        <x:f>IF(OR(C93="",D93=""),"",MAX(0,(D93-C93)*24))</x:f>
      </x:c>
      <x:c r="P93" s="521" t="str">
        <x:f>IF(OR(D93="",E93=""),"",MAX(0,(E93-D93)*24))</x:f>
      </x:c>
      <x:c r="Q93" s="521" t="str">
        <x:f>IF(OR(F93="",G93=""),"",MAX(0,(G93-F93)*24))</x:f>
      </x:c>
      <x:c r="R93" s="521" t="str">
        <x:f>IF(OR(G93="",H93=""),"",MAX(0,(H93-G93)*24))</x:f>
      </x:c>
      <x:c r="S93" s="521" t="str">
        <x:f>IF(OR(H93="",I93=""),"",MAX(0,(I93-H93)*24))</x:f>
      </x:c>
      <x:c r="T93" s="521" t="str">
        <x:f>IF(OR(B93="",I93=""),"",MAX(0,(I93-B93)*24))</x:f>
      </x:c>
    </x:row>
    <x:row r="94" ht="20" customHeight="1">
      <x:c r="A94" s="516"/>
      <x:c r="B94" s="517"/>
      <x:c r="C94" s="517"/>
      <x:c r="D94" s="517"/>
      <x:c r="E94" s="517"/>
      <x:c r="F94" s="517"/>
      <x:c r="G94" s="517"/>
      <x:c r="H94" s="517"/>
      <x:c r="I94" s="517"/>
      <x:c r="J94" s="518"/>
      <x:c r="K94" s="519"/>
      <x:c r="L94" s="520"/>
      <x:c r="M94" s="520"/>
      <x:c r="N94" s="521" t="str">
        <x:f>IF(OR(B94="",C94=""),"",MAX(0,(C94-B94)*24))</x:f>
      </x:c>
      <x:c r="O94" s="521" t="str">
        <x:f>IF(OR(C94="",D94=""),"",MAX(0,(D94-C94)*24))</x:f>
      </x:c>
      <x:c r="P94" s="521" t="str">
        <x:f>IF(OR(D94="",E94=""),"",MAX(0,(E94-D94)*24))</x:f>
      </x:c>
      <x:c r="Q94" s="521" t="str">
        <x:f>IF(OR(F94="",G94=""),"",MAX(0,(G94-F94)*24))</x:f>
      </x:c>
      <x:c r="R94" s="521" t="str">
        <x:f>IF(OR(G94="",H94=""),"",MAX(0,(H94-G94)*24))</x:f>
      </x:c>
      <x:c r="S94" s="521" t="str">
        <x:f>IF(OR(H94="",I94=""),"",MAX(0,(I94-H94)*24))</x:f>
      </x:c>
      <x:c r="T94" s="521" t="str">
        <x:f>IF(OR(B94="",I94=""),"",MAX(0,(I94-B94)*24))</x:f>
      </x:c>
    </x:row>
    <x:row r="95" ht="20" customHeight="1">
      <x:c r="A95" s="516"/>
      <x:c r="B95" s="517"/>
      <x:c r="C95" s="517"/>
      <x:c r="D95" s="517"/>
      <x:c r="E95" s="517"/>
      <x:c r="F95" s="517"/>
      <x:c r="G95" s="517"/>
      <x:c r="H95" s="517"/>
      <x:c r="I95" s="517"/>
      <x:c r="J95" s="518"/>
      <x:c r="K95" s="519"/>
      <x:c r="L95" s="520"/>
      <x:c r="M95" s="520"/>
      <x:c r="N95" s="521" t="str">
        <x:f>IF(OR(B95="",C95=""),"",MAX(0,(C95-B95)*24))</x:f>
      </x:c>
      <x:c r="O95" s="521" t="str">
        <x:f>IF(OR(C95="",D95=""),"",MAX(0,(D95-C95)*24))</x:f>
      </x:c>
      <x:c r="P95" s="521" t="str">
        <x:f>IF(OR(D95="",E95=""),"",MAX(0,(E95-D95)*24))</x:f>
      </x:c>
      <x:c r="Q95" s="521" t="str">
        <x:f>IF(OR(F95="",G95=""),"",MAX(0,(G95-F95)*24))</x:f>
      </x:c>
      <x:c r="R95" s="521" t="str">
        <x:f>IF(OR(G95="",H95=""),"",MAX(0,(H95-G95)*24))</x:f>
      </x:c>
      <x:c r="S95" s="521" t="str">
        <x:f>IF(OR(H95="",I95=""),"",MAX(0,(I95-H95)*24))</x:f>
      </x:c>
      <x:c r="T95" s="521" t="str">
        <x:f>IF(OR(B95="",I95=""),"",MAX(0,(I95-B95)*24))</x:f>
      </x:c>
    </x:row>
    <x:row r="96" ht="20" customHeight="1">
      <x:c r="A96" s="516"/>
      <x:c r="B96" s="517"/>
      <x:c r="C96" s="517"/>
      <x:c r="D96" s="517"/>
      <x:c r="E96" s="517"/>
      <x:c r="F96" s="517"/>
      <x:c r="G96" s="517"/>
      <x:c r="H96" s="517"/>
      <x:c r="I96" s="517"/>
      <x:c r="J96" s="518"/>
      <x:c r="K96" s="519"/>
      <x:c r="L96" s="520"/>
      <x:c r="M96" s="520"/>
      <x:c r="N96" s="521" t="str">
        <x:f>IF(OR(B96="",C96=""),"",MAX(0,(C96-B96)*24))</x:f>
      </x:c>
      <x:c r="O96" s="521" t="str">
        <x:f>IF(OR(C96="",D96=""),"",MAX(0,(D96-C96)*24))</x:f>
      </x:c>
      <x:c r="P96" s="521" t="str">
        <x:f>IF(OR(D96="",E96=""),"",MAX(0,(E96-D96)*24))</x:f>
      </x:c>
      <x:c r="Q96" s="521" t="str">
        <x:f>IF(OR(F96="",G96=""),"",MAX(0,(G96-F96)*24))</x:f>
      </x:c>
      <x:c r="R96" s="521" t="str">
        <x:f>IF(OR(G96="",H96=""),"",MAX(0,(H96-G96)*24))</x:f>
      </x:c>
      <x:c r="S96" s="521" t="str">
        <x:f>IF(OR(H96="",I96=""),"",MAX(0,(I96-H96)*24))</x:f>
      </x:c>
      <x:c r="T96" s="521" t="str">
        <x:f>IF(OR(B96="",I96=""),"",MAX(0,(I96-B96)*24))</x:f>
      </x:c>
    </x:row>
    <x:row r="97" ht="20" customHeight="1">
      <x:c r="A97" s="516"/>
      <x:c r="B97" s="517"/>
      <x:c r="C97" s="517"/>
      <x:c r="D97" s="517"/>
      <x:c r="E97" s="517"/>
      <x:c r="F97" s="517"/>
      <x:c r="G97" s="517"/>
      <x:c r="H97" s="517"/>
      <x:c r="I97" s="517"/>
      <x:c r="J97" s="518"/>
      <x:c r="K97" s="519"/>
      <x:c r="L97" s="520"/>
      <x:c r="M97" s="520"/>
      <x:c r="N97" s="521" t="str">
        <x:f>IF(OR(B97="",C97=""),"",MAX(0,(C97-B97)*24))</x:f>
      </x:c>
      <x:c r="O97" s="521" t="str">
        <x:f>IF(OR(C97="",D97=""),"",MAX(0,(D97-C97)*24))</x:f>
      </x:c>
      <x:c r="P97" s="521" t="str">
        <x:f>IF(OR(D97="",E97=""),"",MAX(0,(E97-D97)*24))</x:f>
      </x:c>
      <x:c r="Q97" s="521" t="str">
        <x:f>IF(OR(F97="",G97=""),"",MAX(0,(G97-F97)*24))</x:f>
      </x:c>
      <x:c r="R97" s="521" t="str">
        <x:f>IF(OR(G97="",H97=""),"",MAX(0,(H97-G97)*24))</x:f>
      </x:c>
      <x:c r="S97" s="521" t="str">
        <x:f>IF(OR(H97="",I97=""),"",MAX(0,(I97-H97)*24))</x:f>
      </x:c>
      <x:c r="T97" s="521" t="str">
        <x:f>IF(OR(B97="",I97=""),"",MAX(0,(I97-B97)*24))</x:f>
      </x:c>
    </x:row>
    <x:row r="98" ht="20" customHeight="1">
      <x:c r="A98" s="516"/>
      <x:c r="B98" s="517"/>
      <x:c r="C98" s="517"/>
      <x:c r="D98" s="517"/>
      <x:c r="E98" s="517"/>
      <x:c r="F98" s="517"/>
      <x:c r="G98" s="517"/>
      <x:c r="H98" s="517"/>
      <x:c r="I98" s="517"/>
      <x:c r="J98" s="518"/>
      <x:c r="K98" s="519"/>
      <x:c r="L98" s="520"/>
      <x:c r="M98" s="520"/>
      <x:c r="N98" s="521" t="str">
        <x:f>IF(OR(B98="",C98=""),"",MAX(0,(C98-B98)*24))</x:f>
      </x:c>
      <x:c r="O98" s="521" t="str">
        <x:f>IF(OR(C98="",D98=""),"",MAX(0,(D98-C98)*24))</x:f>
      </x:c>
      <x:c r="P98" s="521" t="str">
        <x:f>IF(OR(D98="",E98=""),"",MAX(0,(E98-D98)*24))</x:f>
      </x:c>
      <x:c r="Q98" s="521" t="str">
        <x:f>IF(OR(F98="",G98=""),"",MAX(0,(G98-F98)*24))</x:f>
      </x:c>
      <x:c r="R98" s="521" t="str">
        <x:f>IF(OR(G98="",H98=""),"",MAX(0,(H98-G98)*24))</x:f>
      </x:c>
      <x:c r="S98" s="521" t="str">
        <x:f>IF(OR(H98="",I98=""),"",MAX(0,(I98-H98)*24))</x:f>
      </x:c>
      <x:c r="T98" s="521" t="str">
        <x:f>IF(OR(B98="",I98=""),"",MAX(0,(I98-B98)*24))</x:f>
      </x:c>
    </x:row>
    <x:row r="99" ht="20" customHeight="1">
      <x:c r="A99" s="516"/>
      <x:c r="B99" s="517"/>
      <x:c r="C99" s="517"/>
      <x:c r="D99" s="517"/>
      <x:c r="E99" s="517"/>
      <x:c r="F99" s="517"/>
      <x:c r="G99" s="517"/>
      <x:c r="H99" s="517"/>
      <x:c r="I99" s="517"/>
      <x:c r="J99" s="518"/>
      <x:c r="K99" s="519"/>
      <x:c r="L99" s="520"/>
      <x:c r="M99" s="520"/>
      <x:c r="N99" s="521" t="str">
        <x:f>IF(OR(B99="",C99=""),"",MAX(0,(C99-B99)*24))</x:f>
      </x:c>
      <x:c r="O99" s="521" t="str">
        <x:f>IF(OR(C99="",D99=""),"",MAX(0,(D99-C99)*24))</x:f>
      </x:c>
      <x:c r="P99" s="521" t="str">
        <x:f>IF(OR(D99="",E99=""),"",MAX(0,(E99-D99)*24))</x:f>
      </x:c>
      <x:c r="Q99" s="521" t="str">
        <x:f>IF(OR(F99="",G99=""),"",MAX(0,(G99-F99)*24))</x:f>
      </x:c>
      <x:c r="R99" s="521" t="str">
        <x:f>IF(OR(G99="",H99=""),"",MAX(0,(H99-G99)*24))</x:f>
      </x:c>
      <x:c r="S99" s="521" t="str">
        <x:f>IF(OR(H99="",I99=""),"",MAX(0,(I99-H99)*24))</x:f>
      </x:c>
      <x:c r="T99" s="521" t="str">
        <x:f>IF(OR(B99="",I99=""),"",MAX(0,(I99-B99)*24))</x:f>
      </x:c>
    </x:row>
    <x:row r="100" ht="20" customHeight="1">
      <x:c r="A100" s="516"/>
      <x:c r="B100" s="517"/>
      <x:c r="C100" s="517"/>
      <x:c r="D100" s="517"/>
      <x:c r="E100" s="517"/>
      <x:c r="F100" s="517"/>
      <x:c r="G100" s="517"/>
      <x:c r="H100" s="517"/>
      <x:c r="I100" s="517"/>
      <x:c r="J100" s="518"/>
      <x:c r="K100" s="519"/>
      <x:c r="L100" s="520"/>
      <x:c r="M100" s="520"/>
      <x:c r="N100" s="521" t="str">
        <x:f>IF(OR(B100="",C100=""),"",MAX(0,(C100-B100)*24))</x:f>
      </x:c>
      <x:c r="O100" s="521" t="str">
        <x:f>IF(OR(C100="",D100=""),"",MAX(0,(D100-C100)*24))</x:f>
      </x:c>
      <x:c r="P100" s="521" t="str">
        <x:f>IF(OR(D100="",E100=""),"",MAX(0,(E100-D100)*24))</x:f>
      </x:c>
      <x:c r="Q100" s="521" t="str">
        <x:f>IF(OR(F100="",G100=""),"",MAX(0,(G100-F100)*24))</x:f>
      </x:c>
      <x:c r="R100" s="521" t="str">
        <x:f>IF(OR(G100="",H100=""),"",MAX(0,(H100-G100)*24))</x:f>
      </x:c>
      <x:c r="S100" s="521" t="str">
        <x:f>IF(OR(H100="",I100=""),"",MAX(0,(I100-H100)*24))</x:f>
      </x:c>
      <x:c r="T100" s="521" t="str">
        <x:f>IF(OR(B100="",I100=""),"",MAX(0,(I100-B100)*24))</x:f>
      </x:c>
    </x:row>
    <x:row r="101" ht="20" customHeight="1">
      <x:c r="A101" s="516"/>
      <x:c r="B101" s="517"/>
      <x:c r="C101" s="517"/>
      <x:c r="D101" s="517"/>
      <x:c r="E101" s="517"/>
      <x:c r="F101" s="517"/>
      <x:c r="G101" s="517"/>
      <x:c r="H101" s="517"/>
      <x:c r="I101" s="517"/>
      <x:c r="J101" s="518"/>
      <x:c r="K101" s="519"/>
      <x:c r="L101" s="520"/>
      <x:c r="M101" s="520"/>
      <x:c r="N101" s="521" t="str">
        <x:f>IF(OR(B101="",C101=""),"",MAX(0,(C101-B101)*24))</x:f>
      </x:c>
      <x:c r="O101" s="521" t="str">
        <x:f>IF(OR(C101="",D101=""),"",MAX(0,(D101-C101)*24))</x:f>
      </x:c>
      <x:c r="P101" s="521" t="str">
        <x:f>IF(OR(D101="",E101=""),"",MAX(0,(E101-D101)*24))</x:f>
      </x:c>
      <x:c r="Q101" s="521" t="str">
        <x:f>IF(OR(F101="",G101=""),"",MAX(0,(G101-F101)*24))</x:f>
      </x:c>
      <x:c r="R101" s="521" t="str">
        <x:f>IF(OR(G101="",H101=""),"",MAX(0,(H101-G101)*24))</x:f>
      </x:c>
      <x:c r="S101" s="521" t="str">
        <x:f>IF(OR(H101="",I101=""),"",MAX(0,(I101-H101)*24))</x:f>
      </x:c>
      <x:c r="T101" s="521" t="str">
        <x:f>IF(OR(B101="",I101=""),"",MAX(0,(I101-B101)*24))</x:f>
      </x:c>
    </x:row>
    <x:row r="102" ht="20" customHeight="1">
      <x:c r="A102" s="516"/>
      <x:c r="B102" s="517"/>
      <x:c r="C102" s="517"/>
      <x:c r="D102" s="517"/>
      <x:c r="E102" s="517"/>
      <x:c r="F102" s="517"/>
      <x:c r="G102" s="517"/>
      <x:c r="H102" s="517"/>
      <x:c r="I102" s="517"/>
      <x:c r="J102" s="518"/>
      <x:c r="K102" s="519"/>
      <x:c r="L102" s="520"/>
      <x:c r="M102" s="520"/>
      <x:c r="N102" s="521" t="str">
        <x:f>IF(OR(B102="",C102=""),"",MAX(0,(C102-B102)*24))</x:f>
      </x:c>
      <x:c r="O102" s="521" t="str">
        <x:f>IF(OR(C102="",D102=""),"",MAX(0,(D102-C102)*24))</x:f>
      </x:c>
      <x:c r="P102" s="521" t="str">
        <x:f>IF(OR(D102="",E102=""),"",MAX(0,(E102-D102)*24))</x:f>
      </x:c>
      <x:c r="Q102" s="521" t="str">
        <x:f>IF(OR(F102="",G102=""),"",MAX(0,(G102-F102)*24))</x:f>
      </x:c>
      <x:c r="R102" s="521" t="str">
        <x:f>IF(OR(G102="",H102=""),"",MAX(0,(H102-G102)*24))</x:f>
      </x:c>
      <x:c r="S102" s="521" t="str">
        <x:f>IF(OR(H102="",I102=""),"",MAX(0,(I102-H102)*24))</x:f>
      </x:c>
      <x:c r="T102" s="521" t="str">
        <x:f>IF(OR(B102="",I102=""),"",MAX(0,(I102-B102)*24))</x:f>
      </x:c>
    </x:row>
    <x:row r="103" ht="20" customHeight="1">
      <x:c r="A103" s="516"/>
      <x:c r="B103" s="517"/>
      <x:c r="C103" s="517"/>
      <x:c r="D103" s="517"/>
      <x:c r="E103" s="517"/>
      <x:c r="F103" s="517"/>
      <x:c r="G103" s="517"/>
      <x:c r="H103" s="517"/>
      <x:c r="I103" s="517"/>
      <x:c r="J103" s="518"/>
      <x:c r="K103" s="519"/>
      <x:c r="L103" s="520"/>
      <x:c r="M103" s="520"/>
      <x:c r="N103" s="521" t="str">
        <x:f>IF(OR(B103="",C103=""),"",MAX(0,(C103-B103)*24))</x:f>
      </x:c>
      <x:c r="O103" s="521" t="str">
        <x:f>IF(OR(C103="",D103=""),"",MAX(0,(D103-C103)*24))</x:f>
      </x:c>
      <x:c r="P103" s="521" t="str">
        <x:f>IF(OR(D103="",E103=""),"",MAX(0,(E103-D103)*24))</x:f>
      </x:c>
      <x:c r="Q103" s="521" t="str">
        <x:f>IF(OR(F103="",G103=""),"",MAX(0,(G103-F103)*24))</x:f>
      </x:c>
      <x:c r="R103" s="521" t="str">
        <x:f>IF(OR(G103="",H103=""),"",MAX(0,(H103-G103)*24))</x:f>
      </x:c>
      <x:c r="S103" s="521" t="str">
        <x:f>IF(OR(H103="",I103=""),"",MAX(0,(I103-H103)*24))</x:f>
      </x:c>
      <x:c r="T103" s="521" t="str">
        <x:f>IF(OR(B103="",I103=""),"",MAX(0,(I103-B103)*24))</x:f>
      </x:c>
    </x:row>
    <x:row r="104" ht="20" customHeight="1">
      <x:c r="A104" s="516"/>
      <x:c r="B104" s="517"/>
      <x:c r="C104" s="517"/>
      <x:c r="D104" s="517"/>
      <x:c r="E104" s="517"/>
      <x:c r="F104" s="517"/>
      <x:c r="G104" s="517"/>
      <x:c r="H104" s="517"/>
      <x:c r="I104" s="517"/>
      <x:c r="J104" s="518"/>
      <x:c r="K104" s="519"/>
      <x:c r="L104" s="520"/>
      <x:c r="M104" s="520"/>
      <x:c r="N104" s="521" t="str">
        <x:f>IF(OR(B104="",C104=""),"",MAX(0,(C104-B104)*24))</x:f>
      </x:c>
      <x:c r="O104" s="521" t="str">
        <x:f>IF(OR(C104="",D104=""),"",MAX(0,(D104-C104)*24))</x:f>
      </x:c>
      <x:c r="P104" s="521" t="str">
        <x:f>IF(OR(D104="",E104=""),"",MAX(0,(E104-D104)*24))</x:f>
      </x:c>
      <x:c r="Q104" s="521" t="str">
        <x:f>IF(OR(F104="",G104=""),"",MAX(0,(G104-F104)*24))</x:f>
      </x:c>
      <x:c r="R104" s="521" t="str">
        <x:f>IF(OR(G104="",H104=""),"",MAX(0,(H104-G104)*24))</x:f>
      </x:c>
      <x:c r="S104" s="521" t="str">
        <x:f>IF(OR(H104="",I104=""),"",MAX(0,(I104-H104)*24))</x:f>
      </x:c>
      <x:c r="T104" s="521" t="str">
        <x:f>IF(OR(B104="",I104=""),"",MAX(0,(I104-B104)*24))</x:f>
      </x:c>
    </x:row>
    <x:row r="105" ht="20" customHeight="1">
      <x:c r="A105" s="516"/>
      <x:c r="B105" s="517"/>
      <x:c r="C105" s="517"/>
      <x:c r="D105" s="517"/>
      <x:c r="E105" s="517"/>
      <x:c r="F105" s="517"/>
      <x:c r="G105" s="517"/>
      <x:c r="H105" s="517"/>
      <x:c r="I105" s="517"/>
      <x:c r="J105" s="518"/>
      <x:c r="K105" s="519"/>
      <x:c r="L105" s="520"/>
      <x:c r="M105" s="520"/>
      <x:c r="N105" s="521" t="str">
        <x:f>IF(OR(B105="",C105=""),"",MAX(0,(C105-B105)*24))</x:f>
      </x:c>
      <x:c r="O105" s="521" t="str">
        <x:f>IF(OR(C105="",D105=""),"",MAX(0,(D105-C105)*24))</x:f>
      </x:c>
      <x:c r="P105" s="521" t="str">
        <x:f>IF(OR(D105="",E105=""),"",MAX(0,(E105-D105)*24))</x:f>
      </x:c>
      <x:c r="Q105" s="521" t="str">
        <x:f>IF(OR(F105="",G105=""),"",MAX(0,(G105-F105)*24))</x:f>
      </x:c>
      <x:c r="R105" s="521" t="str">
        <x:f>IF(OR(G105="",H105=""),"",MAX(0,(H105-G105)*24))</x:f>
      </x:c>
      <x:c r="S105" s="521" t="str">
        <x:f>IF(OR(H105="",I105=""),"",MAX(0,(I105-H105)*24))</x:f>
      </x:c>
      <x:c r="T105" s="521" t="str">
        <x:f>IF(OR(B105="",I105=""),"",MAX(0,(I105-B105)*24))</x:f>
      </x:c>
    </x:row>
  </x:sheetData>
  <x:mergeCells>
    <x:mergeCell ref="A1:T1"/>
    <x:mergeCell ref="A2:T2"/>
    <x:mergeCell ref="A3:T3"/>
  </x:mergeCells>
  <x:conditionalFormatting sqref="C6:C105">
    <x:cfRule type="expression" dxfId="0" priority="1">
      <x:formula>AND(C6&lt;&gt;"",B6&lt;&gt;"",C6&lt;B6)</x:formula>
    </x:cfRule>
  </x:conditionalFormatting>
  <x:conditionalFormatting sqref="D6:D105">
    <x:cfRule type="expression" dxfId="1" priority="2">
      <x:formula>AND(D6&lt;&gt;"",C6&lt;&gt;"",D6&lt;C6)</x:formula>
    </x:cfRule>
  </x:conditionalFormatting>
  <x:conditionalFormatting sqref="E6:E105">
    <x:cfRule type="expression" dxfId="2" priority="3">
      <x:formula>AND(E6&lt;&gt;"",D6&lt;&gt;"",E6&lt;D6)</x:formula>
    </x:cfRule>
  </x:conditionalFormatting>
  <x:conditionalFormatting sqref="F6:F105">
    <x:cfRule type="expression" dxfId="3" priority="4">
      <x:formula>AND(F6&lt;&gt;"",E6&lt;&gt;"",F6&lt;E6)</x:formula>
    </x:cfRule>
  </x:conditionalFormatting>
  <x:conditionalFormatting sqref="G6:G105">
    <x:cfRule type="expression" dxfId="4" priority="5">
      <x:formula>AND(G6&lt;&gt;"",F6&lt;&gt;"",G6&lt;F6)</x:formula>
    </x:cfRule>
  </x:conditionalFormatting>
  <x:conditionalFormatting sqref="H6:H105">
    <x:cfRule type="expression" dxfId="5" priority="6">
      <x:formula>AND(H6&lt;&gt;"",G6&lt;&gt;"",H6&lt;G6)</x:formula>
    </x:cfRule>
  </x:conditionalFormatting>
  <x:conditionalFormatting sqref="I6:I105">
    <x:cfRule type="expression" dxfId="6" priority="7">
      <x:formula>AND(I6&lt;&gt;"",H6&lt;&gt;"",I6&lt;H6)</x:formula>
    </x:cfRule>
  </x:conditionalFormatting>
  <x:conditionalFormatting sqref="N6:N105">
    <x:cfRule type="expression" dxfId="7" priority="8">
      <x:formula>AND(B6&lt;&gt;"",C6&lt;&gt;"",C6&lt;B6)</x:formula>
    </x:cfRule>
  </x:conditionalFormatting>
  <x:conditionalFormatting sqref="O6:O105">
    <x:cfRule type="expression" dxfId="8" priority="9">
      <x:formula>AND(C6&lt;&gt;"",D6&lt;&gt;"",D6&lt;C6)</x:formula>
    </x:cfRule>
  </x:conditionalFormatting>
  <x:conditionalFormatting sqref="P6:P105">
    <x:cfRule type="expression" dxfId="9" priority="10">
      <x:formula>AND(D6&lt;&gt;"",E6&lt;&gt;"",E6&lt;D6)</x:formula>
    </x:cfRule>
  </x:conditionalFormatting>
  <x:conditionalFormatting sqref="Q6:Q105">
    <x:cfRule type="expression" dxfId="10" priority="11">
      <x:formula>AND(F6&lt;&gt;"",G6&lt;&gt;"",G6&lt;F6)</x:formula>
    </x:cfRule>
  </x:conditionalFormatting>
  <x:conditionalFormatting sqref="R6:R105">
    <x:cfRule type="expression" dxfId="11" priority="12">
      <x:formula>AND(G6&lt;&gt;"",H6&lt;&gt;"",H6&lt;G6)</x:formula>
    </x:cfRule>
  </x:conditionalFormatting>
  <x:conditionalFormatting sqref="S6:S105">
    <x:cfRule type="expression" dxfId="12" priority="13">
      <x:formula>AND(H6&lt;&gt;"",I6&lt;&gt;"",I6&lt;H6)</x:formula>
    </x:cfRule>
  </x:conditionalFormatting>
  <x:conditionalFormatting sqref="T6:T105">
    <x:cfRule type="expression" dxfId="13" priority="14">
      <x:formula>OR(AND(B6&lt;&gt;"",C6&lt;&gt;"",C6&lt;B6),AND(C6&lt;&gt;"",D6&lt;&gt;"",D6&lt;C6),AND(D6&lt;&gt;"",E6&lt;&gt;"",E6&lt;D6),AND(E6&lt;&gt;"",F6&lt;&gt;"",F6&lt;E6),AND(F6&lt;&gt;"",G6&lt;&gt;"",G6&lt;F6),AND(G6&lt;&gt;"",H6&lt;&gt;"",H6&lt;G6),AND(H6&lt;&gt;"",I6&lt;&gt;"",I6&lt;H6))</x:formula>
    </x:cfRule>
  </x:conditionalFormatting>
  <x:conditionalFormatting sqref="B6:I105">
    <x:cfRule type="expression" dxfId="15" priority="15">
      <x:formula>OR(AND($B6&lt;&gt;"",$C6&lt;&gt;"",$C6&lt;$B6),AND($C6&lt;&gt;"",$D6&lt;&gt;"",$D6&lt;$C6),AND($D6&lt;&gt;"",$E6&lt;&gt;"",$E6&lt;$D6),AND($F6&lt;&gt;"",$G6&lt;&gt;"",$G6&lt;$F6),AND($G6&lt;&gt;"",$H6&lt;&gt;"",$H6&lt;$G6),AND($H6&lt;&gt;"",$I6&lt;&gt;"",$I6&lt;$H6))</x:formula>
    </x:cfRule>
  </x:conditionalFormatting>
  <x:dataValidations count="3">
    <x:dataValidation type="list" allowBlank="1" showDropDown="0" sqref="L6:L105">
      <x:formula1>Definitions!$E$2:$E$8</x:formula1>
    </x:dataValidation>
    <x:dataValidation type="whole" errorStyle="stop" operator="between" allowBlank="1" showErrorMessage="1" errorTitle="Invalid value" error="Enter a whole number of 0 or greater." sqref="J6:J105">
      <x:formula1>0</x:formula1>
      <x:formula2>2147483647</x:formula2>
    </x:dataValidation>
    <x:dataValidation type="decimal" errorStyle="stop" operator="between" allowBlank="1" showErrorMessage="1" errorTitle="Invalid value" error="Enter a number of 0 or greater." sqref="K6:K105">
      <x:formula1>0</x:formula1>
      <x:formula2>1000000000000</x:formula2>
    </x:dataValidation>
  </x:dataValidations>
  <x:pageMargins left="0.7" right="0.7" top="0.75" bottom="0.75" header="0.3" footer="0.3"/>
  <x:tableParts count="1">
    <x:tablePart xmlns:r="http://schemas.openxmlformats.org/officeDocument/2006/relationships" r:id="R17354bbd4d4d458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6" hidden="0" customWidth="1"/>
    <x:col min="4" max="4" width="32" hidden="0" customWidth="1"/>
    <x:col min="5" max="5" width="22" hidden="0" customWidth="1"/>
    <x:col min="6" max="6" width="24" hidden="0" customWidth="1"/>
    <x:col min="7" max="7" width="24" hidden="0" customWidth="1"/>
    <x:col min="8" max="8" width="22" hidden="0" customWidth="1"/>
    <x:col min="9" max="9" width="26" hidden="0" customWidth="1"/>
    <x:col min="10" max="10" width="24" hidden="0" customWidth="1"/>
    <x:col min="11" max="11" width="22" hidden="0" customWidth="1"/>
    <x:col min="12" max="12" width="22" hidden="0" customWidth="1"/>
    <x:col min="13" max="13" width="24" hidden="0" customWidth="1"/>
    <x:col min="14" max="14" width="22" hidden="0" customWidth="1"/>
    <x:col min="15" max="15" width="23" hidden="0" customWidth="1"/>
    <x:col min="16" max="16" width="23" hidden="0" customWidth="1"/>
    <x:col min="17" max="17" width="24" hidden="0" customWidth="1"/>
    <x:col min="18" max="18" width="20" hidden="0" customWidth="1"/>
    <x:col min="19" max="19" width="25" hidden="0" customWidth="1"/>
    <x:col min="20" max="20" width="17" hidden="0" customWidth="1"/>
    <x:col min="21" max="21" width="16" hidden="0" customWidth="1"/>
    <x:col min="22" max="22" width="16" hidden="0" customWidth="1"/>
    <x:col min="23" max="23" width="15" hidden="0" customWidth="1"/>
    <x:col min="24" max="24" width="18" hidden="0" customWidth="1"/>
    <x:col min="25" max="25" width="32" hidden="0" customWidth="1"/>
  </x:cols>
  <x:sheetData>
    <x:row r="1" ht="30" customHeight="1">
      <x:c r="A1" s="173" t="str">
        <x:v>Configure to WIN | Quote Turnaround Time Calculator Inputs</x:v>
      </x:c>
      <x:c r="B1" s="173"/>
      <x:c r="C1" s="173"/>
      <x:c r="D1" s="173"/>
      <x:c r="E1" s="173"/>
      <x:c r="F1" s="173"/>
      <x:c r="G1" s="173"/>
      <x:c r="H1" s="173"/>
      <x:c r="I1" s="173"/>
      <x:c r="J1" s="173"/>
      <x:c r="K1" s="173"/>
      <x:c r="L1" s="173"/>
      <x:c r="M1" s="173"/>
      <x:c r="N1" s="173"/>
      <x:c r="O1" s="173"/>
      <x:c r="P1" s="173"/>
      <x:c r="Q1" s="173"/>
      <x:c r="R1" s="173"/>
      <x:c r="S1" s="173"/>
      <x:c r="T1" s="173"/>
      <x:c r="U1" s="173"/>
      <x:c r="V1" s="173"/>
      <x:c r="W1" s="173"/>
      <x:c r="X1" s="173"/>
      <x:c r="Y1" s="173"/>
    </x:row>
    <x:row r="2" ht="24" customHeight="1">
      <x:c r="A2" s="174" t="str">
        <x:v>Record active work, waiting, rework and release lag using the same measurement model as the Configure to WIN calculator.</x:v>
      </x:c>
      <x:c r="B2" s="174"/>
      <x:c r="C2" s="174"/>
      <x:c r="D2" s="174"/>
      <x:c r="E2" s="174"/>
      <x:c r="F2" s="174"/>
      <x:c r="G2" s="174"/>
      <x:c r="H2" s="174"/>
      <x:c r="I2" s="174"/>
      <x:c r="J2" s="174"/>
      <x:c r="K2" s="174"/>
      <x:c r="L2" s="174"/>
      <x:c r="M2" s="174"/>
      <x:c r="N2" s="174"/>
      <x:c r="O2" s="174"/>
      <x:c r="P2" s="174"/>
      <x:c r="Q2" s="174"/>
      <x:c r="R2" s="174"/>
      <x:c r="S2" s="174"/>
      <x:c r="T2" s="174"/>
      <x:c r="U2" s="174"/>
      <x:c r="V2" s="174"/>
      <x:c r="W2" s="174"/>
      <x:c r="X2" s="174"/>
      <x:c r="Y2" s="174"/>
    </x:row>
    <x:row r="3" ht="30" customHeight="1">
      <x:c r="A3" s="175" t="str">
        <x:v>Select one time unit per row and enter every duration using that same unit.</x:v>
      </x:c>
      <x:c r="B3" s="175"/>
      <x:c r="C3" s="175"/>
      <x:c r="D3" s="175"/>
      <x:c r="E3" s="175"/>
      <x:c r="F3" s="175"/>
      <x:c r="G3" s="175"/>
      <x:c r="H3" s="175"/>
      <x:c r="I3" s="175"/>
      <x:c r="J3" s="175"/>
      <x:c r="K3" s="175"/>
      <x:c r="L3" s="175"/>
      <x:c r="M3" s="175"/>
      <x:c r="N3" s="175"/>
      <x:c r="O3" s="175"/>
      <x:c r="P3" s="175"/>
      <x:c r="Q3" s="175"/>
      <x:c r="R3" s="175"/>
      <x:c r="S3" s="175"/>
      <x:c r="T3" s="175"/>
      <x:c r="U3" s="175"/>
      <x:c r="V3" s="175"/>
      <x:c r="W3" s="175"/>
      <x:c r="X3" s="175"/>
      <x:c r="Y3" s="175"/>
    </x:row>
    <x:row r="4">
      <x:c r="A4" s="170"/>
      <x:c r="B4" s="170"/>
      <x:c r="C4" s="170"/>
      <x:c r="D4" s="170"/>
      <x:c r="E4" s="170"/>
      <x:c r="F4" s="170"/>
      <x:c r="G4" s="170"/>
      <x:c r="H4" s="170"/>
      <x:c r="I4" s="170"/>
      <x:c r="J4" s="170"/>
      <x:c r="K4" s="170"/>
      <x:c r="L4" s="170"/>
      <x:c r="M4" s="170"/>
      <x:c r="N4" s="170"/>
      <x:c r="O4" s="170"/>
      <x:c r="P4" s="170"/>
      <x:c r="Q4" s="170"/>
      <x:c r="R4" s="170"/>
      <x:c r="S4" s="170"/>
      <x:c r="T4" s="170"/>
      <x:c r="U4" s="170"/>
      <x:c r="V4" s="170"/>
      <x:c r="W4" s="170"/>
      <x:c r="X4" s="170"/>
      <x:c r="Y4" s="170"/>
    </x:row>
    <x:row r="5" ht="74" customHeight="1">
      <x:c r="A5" s="515" t="str">
        <x:v>Quote ID</x:v>
      </x:c>
      <x:c r="B5" s="515" t="str">
        <x:v>Measurement date</x:v>
      </x:c>
      <x:c r="C5" s="515" t="str">
        <x:v>Time unit</x:v>
      </x:c>
      <x:c r="D5" s="515" t="str">
        <x:v>Notes</x:v>
      </x:c>
      <x:c r="E5" s="515" t="str">
        <x:v>Preparation — Active work time</x:v>
      </x:c>
      <x:c r="F5" s="515" t="str">
        <x:v>Preparation — Waiting for complete inputs</x:v>
      </x:c>
      <x:c r="G5" s="515" t="str">
        <x:v>Preparation — Rework caused by missing inputs</x:v>
      </x:c>
      <x:c r="H5" s="515" t="str">
        <x:v>Commercial calculation — Active calculation time</x:v>
      </x:c>
      <x:c r="I5" s="515" t="str">
        <x:v>Commercial calculation — Waiting for product, price or cost data</x:v>
      </x:c>
      <x:c r="J5" s="515" t="str">
        <x:v>Commercial calculation — Recalculation or correction time</x:v>
      </x:c>
      <x:c r="K5" s="515" t="str">
        <x:v>Validation — Active validation time</x:v>
      </x:c>
      <x:c r="L5" s="515" t="str">
        <x:v>Validation — Waiting for clarification</x:v>
      </x:c>
      <x:c r="M5" s="515" t="str">
        <x:v>Validation — Time spent correcting validation issues</x:v>
      </x:c>
      <x:c r="N5" s="515" t="str">
        <x:v>Approval — Approval preparation time</x:v>
      </x:c>
      <x:c r="O5" s="515" t="str">
        <x:v>Approval — Waiting for an approval decision</x:v>
      </x:c>
      <x:c r="P5" s="515" t="str">
        <x:v>Approval — Rework after approver feedback</x:v>
      </x:c>
      <x:c r="Q5" s="515" t="str">
        <x:v>Customer-ready release — Final document or output preparation</x:v>
      </x:c>
      <x:c r="R5" s="515" t="str">
        <x:v>Customer-ready release — Final checks</x:v>
      </x:c>
      <x:c r="S5" s="515" t="str">
        <x:v>Customer-ready release — Delay between approval and customer release</x:v>
      </x:c>
      <x:c r="T5" s="515" t="str">
        <x:v>Active processing time</x:v>
      </x:c>
      <x:c r="U5" s="515" t="str">
        <x:v>Waiting time</x:v>
      </x:c>
      <x:c r="V5" s="515" t="str">
        <x:v>Rework time</x:v>
      </x:c>
      <x:c r="W5" s="515" t="str">
        <x:v>Release lag</x:v>
      </x:c>
      <x:c r="X5" s="515" t="str">
        <x:v>Total turnaround time</x:v>
      </x:c>
      <x:c r="Y5" s="515" t="str">
        <x:v>Largest bottleneck</x:v>
      </x:c>
    </x:row>
    <x:row r="6" ht="20" customHeight="1">
      <x:c r="A6" s="516"/>
      <x:c r="B6" s="522"/>
      <x:c r="C6" s="516" t="str">
        <x:v>Hours</x:v>
      </x:c>
      <x:c r="D6" s="520"/>
      <x:c r="E6" s="523"/>
      <x:c r="F6" s="523"/>
      <x:c r="G6" s="523"/>
      <x:c r="H6" s="523"/>
      <x:c r="I6" s="523"/>
      <x:c r="J6" s="523"/>
      <x:c r="K6" s="523"/>
      <x:c r="L6" s="523"/>
      <x:c r="M6" s="523"/>
      <x:c r="N6" s="523"/>
      <x:c r="O6" s="523"/>
      <x:c r="P6" s="523"/>
      <x:c r="Q6" s="523"/>
      <x:c r="R6" s="523"/>
      <x:c r="S6" s="523"/>
      <x:c r="T6" s="521" t="str">
        <x:f>IF(MAX(E6:S6)=0,"",SUM(E6,H6,K6,N6,Q6,R6))</x:f>
      </x:c>
      <x:c r="U6" s="521" t="str">
        <x:f>IF(MAX(E6:S6)=0,"",SUM(F6,I6,L6,O6))</x:f>
      </x:c>
      <x:c r="V6" s="521" t="str">
        <x:f>IF(MAX(E6:S6)=0,"",SUM(G6,J6,M6,P6))</x:f>
      </x:c>
      <x:c r="W6" s="521" t="str">
        <x:f>IF(MAX(E6:S6)=0,"",S6)</x:f>
      </x:c>
      <x:c r="X6" s="521" t="str">
        <x:f>IF(MAX(E6:S6)=0,"",SUM(T6:W6))</x:f>
      </x:c>
      <x:c r="Y6" s="524" t="str">
        <x:f>IF(MAX(E6:S6)=0,"",INDEX($E$5:$S$5,1,MATCH(MAX(E6:S6),E6:S6,0)))</x:f>
      </x:c>
    </x:row>
    <x:row r="7" ht="20" customHeight="1">
      <x:c r="A7" s="516"/>
      <x:c r="B7" s="522"/>
      <x:c r="C7" s="516"/>
      <x:c r="D7" s="520"/>
      <x:c r="E7" s="523"/>
      <x:c r="F7" s="523"/>
      <x:c r="G7" s="523"/>
      <x:c r="H7" s="523"/>
      <x:c r="I7" s="523"/>
      <x:c r="J7" s="523"/>
      <x:c r="K7" s="523"/>
      <x:c r="L7" s="523"/>
      <x:c r="M7" s="523"/>
      <x:c r="N7" s="523"/>
      <x:c r="O7" s="523"/>
      <x:c r="P7" s="523"/>
      <x:c r="Q7" s="523"/>
      <x:c r="R7" s="523"/>
      <x:c r="S7" s="523"/>
      <x:c r="T7" s="521" t="str">
        <x:f>IF(MAX(E7:S7)=0,"",SUM(E7,H7,K7,N7,Q7,R7))</x:f>
      </x:c>
      <x:c r="U7" s="521" t="str">
        <x:f>IF(MAX(E7:S7)=0,"",SUM(F7,I7,L7,O7))</x:f>
      </x:c>
      <x:c r="V7" s="521" t="str">
        <x:f>IF(MAX(E7:S7)=0,"",SUM(G7,J7,M7,P7))</x:f>
      </x:c>
      <x:c r="W7" s="521" t="str">
        <x:f>IF(MAX(E7:S7)=0,"",S7)</x:f>
      </x:c>
      <x:c r="X7" s="521" t="str">
        <x:f>IF(MAX(E7:S7)=0,"",SUM(T7:W7))</x:f>
      </x:c>
      <x:c r="Y7" s="524" t="str">
        <x:f>IF(MAX(E7:S7)=0,"",INDEX($E$5:$S$5,1,MATCH(MAX(E7:S7),E7:S7,0)))</x:f>
      </x:c>
    </x:row>
    <x:row r="8" ht="20" customHeight="1">
      <x:c r="A8" s="516"/>
      <x:c r="B8" s="522"/>
      <x:c r="C8" s="516"/>
      <x:c r="D8" s="520"/>
      <x:c r="E8" s="523"/>
      <x:c r="F8" s="523"/>
      <x:c r="G8" s="523"/>
      <x:c r="H8" s="523"/>
      <x:c r="I8" s="523"/>
      <x:c r="J8" s="523"/>
      <x:c r="K8" s="523"/>
      <x:c r="L8" s="523"/>
      <x:c r="M8" s="523"/>
      <x:c r="N8" s="523"/>
      <x:c r="O8" s="523"/>
      <x:c r="P8" s="523"/>
      <x:c r="Q8" s="523"/>
      <x:c r="R8" s="523"/>
      <x:c r="S8" s="523"/>
      <x:c r="T8" s="521" t="str">
        <x:f>IF(MAX(E8:S8)=0,"",SUM(E8,H8,K8,N8,Q8,R8))</x:f>
      </x:c>
      <x:c r="U8" s="521" t="str">
        <x:f>IF(MAX(E8:S8)=0,"",SUM(F8,I8,L8,O8))</x:f>
      </x:c>
      <x:c r="V8" s="521" t="str">
        <x:f>IF(MAX(E8:S8)=0,"",SUM(G8,J8,M8,P8))</x:f>
      </x:c>
      <x:c r="W8" s="521" t="str">
        <x:f>IF(MAX(E8:S8)=0,"",S8)</x:f>
      </x:c>
      <x:c r="X8" s="521" t="str">
        <x:f>IF(MAX(E8:S8)=0,"",SUM(T8:W8))</x:f>
      </x:c>
      <x:c r="Y8" s="524" t="str">
        <x:f>IF(MAX(E8:S8)=0,"",INDEX($E$5:$S$5,1,MATCH(MAX(E8:S8),E8:S8,0)))</x:f>
      </x:c>
    </x:row>
    <x:row r="9" ht="20" customHeight="1">
      <x:c r="A9" s="516"/>
      <x:c r="B9" s="522"/>
      <x:c r="C9" s="516"/>
      <x:c r="D9" s="520"/>
      <x:c r="E9" s="523"/>
      <x:c r="F9" s="523"/>
      <x:c r="G9" s="523"/>
      <x:c r="H9" s="523"/>
      <x:c r="I9" s="523"/>
      <x:c r="J9" s="523"/>
      <x:c r="K9" s="523"/>
      <x:c r="L9" s="523"/>
      <x:c r="M9" s="523"/>
      <x:c r="N9" s="523"/>
      <x:c r="O9" s="523"/>
      <x:c r="P9" s="523"/>
      <x:c r="Q9" s="523"/>
      <x:c r="R9" s="523"/>
      <x:c r="S9" s="523"/>
      <x:c r="T9" s="521" t="str">
        <x:f>IF(MAX(E9:S9)=0,"",SUM(E9,H9,K9,N9,Q9,R9))</x:f>
      </x:c>
      <x:c r="U9" s="521" t="str">
        <x:f>IF(MAX(E9:S9)=0,"",SUM(F9,I9,L9,O9))</x:f>
      </x:c>
      <x:c r="V9" s="521" t="str">
        <x:f>IF(MAX(E9:S9)=0,"",SUM(G9,J9,M9,P9))</x:f>
      </x:c>
      <x:c r="W9" s="521" t="str">
        <x:f>IF(MAX(E9:S9)=0,"",S9)</x:f>
      </x:c>
      <x:c r="X9" s="521" t="str">
        <x:f>IF(MAX(E9:S9)=0,"",SUM(T9:W9))</x:f>
      </x:c>
      <x:c r="Y9" s="524" t="str">
        <x:f>IF(MAX(E9:S9)=0,"",INDEX($E$5:$S$5,1,MATCH(MAX(E9:S9),E9:S9,0)))</x:f>
      </x:c>
    </x:row>
    <x:row r="10" ht="20" customHeight="1">
      <x:c r="A10" s="516"/>
      <x:c r="B10" s="522"/>
      <x:c r="C10" s="516"/>
      <x:c r="D10" s="520"/>
      <x:c r="E10" s="523"/>
      <x:c r="F10" s="523"/>
      <x:c r="G10" s="523"/>
      <x:c r="H10" s="523"/>
      <x:c r="I10" s="523"/>
      <x:c r="J10" s="523"/>
      <x:c r="K10" s="523"/>
      <x:c r="L10" s="523"/>
      <x:c r="M10" s="523"/>
      <x:c r="N10" s="523"/>
      <x:c r="O10" s="523"/>
      <x:c r="P10" s="523"/>
      <x:c r="Q10" s="523"/>
      <x:c r="R10" s="523"/>
      <x:c r="S10" s="523"/>
      <x:c r="T10" s="521" t="str">
        <x:f>IF(MAX(E10:S10)=0,"",SUM(E10,H10,K10,N10,Q10,R10))</x:f>
      </x:c>
      <x:c r="U10" s="521" t="str">
        <x:f>IF(MAX(E10:S10)=0,"",SUM(F10,I10,L10,O10))</x:f>
      </x:c>
      <x:c r="V10" s="521" t="str">
        <x:f>IF(MAX(E10:S10)=0,"",SUM(G10,J10,M10,P10))</x:f>
      </x:c>
      <x:c r="W10" s="521" t="str">
        <x:f>IF(MAX(E10:S10)=0,"",S10)</x:f>
      </x:c>
      <x:c r="X10" s="521" t="str">
        <x:f>IF(MAX(E10:S10)=0,"",SUM(T10:W10))</x:f>
      </x:c>
      <x:c r="Y10" s="524" t="str">
        <x:f>IF(MAX(E10:S10)=0,"",INDEX($E$5:$S$5,1,MATCH(MAX(E10:S10),E10:S10,0)))</x:f>
      </x:c>
    </x:row>
    <x:row r="11" ht="20" customHeight="1">
      <x:c r="A11" s="516"/>
      <x:c r="B11" s="522"/>
      <x:c r="C11" s="516"/>
      <x:c r="D11" s="520"/>
      <x:c r="E11" s="523"/>
      <x:c r="F11" s="523"/>
      <x:c r="G11" s="523"/>
      <x:c r="H11" s="523"/>
      <x:c r="I11" s="523"/>
      <x:c r="J11" s="523"/>
      <x:c r="K11" s="523"/>
      <x:c r="L11" s="523"/>
      <x:c r="M11" s="523"/>
      <x:c r="N11" s="523"/>
      <x:c r="O11" s="523"/>
      <x:c r="P11" s="523"/>
      <x:c r="Q11" s="523"/>
      <x:c r="R11" s="523"/>
      <x:c r="S11" s="523"/>
      <x:c r="T11" s="521" t="str">
        <x:f>IF(MAX(E11:S11)=0,"",SUM(E11,H11,K11,N11,Q11,R11))</x:f>
      </x:c>
      <x:c r="U11" s="521" t="str">
        <x:f>IF(MAX(E11:S11)=0,"",SUM(F11,I11,L11,O11))</x:f>
      </x:c>
      <x:c r="V11" s="521" t="str">
        <x:f>IF(MAX(E11:S11)=0,"",SUM(G11,J11,M11,P11))</x:f>
      </x:c>
      <x:c r="W11" s="521" t="str">
        <x:f>IF(MAX(E11:S11)=0,"",S11)</x:f>
      </x:c>
      <x:c r="X11" s="521" t="str">
        <x:f>IF(MAX(E11:S11)=0,"",SUM(T11:W11))</x:f>
      </x:c>
      <x:c r="Y11" s="524" t="str">
        <x:f>IF(MAX(E11:S11)=0,"",INDEX($E$5:$S$5,1,MATCH(MAX(E11:S11),E11:S11,0)))</x:f>
      </x:c>
    </x:row>
    <x:row r="12" ht="20" customHeight="1">
      <x:c r="A12" s="516"/>
      <x:c r="B12" s="522"/>
      <x:c r="C12" s="516"/>
      <x:c r="D12" s="520"/>
      <x:c r="E12" s="523"/>
      <x:c r="F12" s="523"/>
      <x:c r="G12" s="523"/>
      <x:c r="H12" s="523"/>
      <x:c r="I12" s="523"/>
      <x:c r="J12" s="523"/>
      <x:c r="K12" s="523"/>
      <x:c r="L12" s="523"/>
      <x:c r="M12" s="523"/>
      <x:c r="N12" s="523"/>
      <x:c r="O12" s="523"/>
      <x:c r="P12" s="523"/>
      <x:c r="Q12" s="523"/>
      <x:c r="R12" s="523"/>
      <x:c r="S12" s="523"/>
      <x:c r="T12" s="521" t="str">
        <x:f>IF(MAX(E12:S12)=0,"",SUM(E12,H12,K12,N12,Q12,R12))</x:f>
      </x:c>
      <x:c r="U12" s="521" t="str">
        <x:f>IF(MAX(E12:S12)=0,"",SUM(F12,I12,L12,O12))</x:f>
      </x:c>
      <x:c r="V12" s="521" t="str">
        <x:f>IF(MAX(E12:S12)=0,"",SUM(G12,J12,M12,P12))</x:f>
      </x:c>
      <x:c r="W12" s="521" t="str">
        <x:f>IF(MAX(E12:S12)=0,"",S12)</x:f>
      </x:c>
      <x:c r="X12" s="521" t="str">
        <x:f>IF(MAX(E12:S12)=0,"",SUM(T12:W12))</x:f>
      </x:c>
      <x:c r="Y12" s="524" t="str">
        <x:f>IF(MAX(E12:S12)=0,"",INDEX($E$5:$S$5,1,MATCH(MAX(E12:S12),E12:S12,0)))</x:f>
      </x:c>
    </x:row>
    <x:row r="13" ht="20" customHeight="1">
      <x:c r="A13" s="516"/>
      <x:c r="B13" s="522"/>
      <x:c r="C13" s="516"/>
      <x:c r="D13" s="520"/>
      <x:c r="E13" s="523"/>
      <x:c r="F13" s="523"/>
      <x:c r="G13" s="523"/>
      <x:c r="H13" s="523"/>
      <x:c r="I13" s="523"/>
      <x:c r="J13" s="523"/>
      <x:c r="K13" s="523"/>
      <x:c r="L13" s="523"/>
      <x:c r="M13" s="523"/>
      <x:c r="N13" s="523"/>
      <x:c r="O13" s="523"/>
      <x:c r="P13" s="523"/>
      <x:c r="Q13" s="523"/>
      <x:c r="R13" s="523"/>
      <x:c r="S13" s="523"/>
      <x:c r="T13" s="521" t="str">
        <x:f>IF(MAX(E13:S13)=0,"",SUM(E13,H13,K13,N13,Q13,R13))</x:f>
      </x:c>
      <x:c r="U13" s="521" t="str">
        <x:f>IF(MAX(E13:S13)=0,"",SUM(F13,I13,L13,O13))</x:f>
      </x:c>
      <x:c r="V13" s="521" t="str">
        <x:f>IF(MAX(E13:S13)=0,"",SUM(G13,J13,M13,P13))</x:f>
      </x:c>
      <x:c r="W13" s="521" t="str">
        <x:f>IF(MAX(E13:S13)=0,"",S13)</x:f>
      </x:c>
      <x:c r="X13" s="521" t="str">
        <x:f>IF(MAX(E13:S13)=0,"",SUM(T13:W13))</x:f>
      </x:c>
      <x:c r="Y13" s="524" t="str">
        <x:f>IF(MAX(E13:S13)=0,"",INDEX($E$5:$S$5,1,MATCH(MAX(E13:S13),E13:S13,0)))</x:f>
      </x:c>
    </x:row>
    <x:row r="14" ht="20" customHeight="1">
      <x:c r="A14" s="516"/>
      <x:c r="B14" s="522"/>
      <x:c r="C14" s="516"/>
      <x:c r="D14" s="520"/>
      <x:c r="E14" s="523"/>
      <x:c r="F14" s="523"/>
      <x:c r="G14" s="523"/>
      <x:c r="H14" s="523"/>
      <x:c r="I14" s="523"/>
      <x:c r="J14" s="523"/>
      <x:c r="K14" s="523"/>
      <x:c r="L14" s="523"/>
      <x:c r="M14" s="523"/>
      <x:c r="N14" s="523"/>
      <x:c r="O14" s="523"/>
      <x:c r="P14" s="523"/>
      <x:c r="Q14" s="523"/>
      <x:c r="R14" s="523"/>
      <x:c r="S14" s="523"/>
      <x:c r="T14" s="521" t="str">
        <x:f>IF(MAX(E14:S14)=0,"",SUM(E14,H14,K14,N14,Q14,R14))</x:f>
      </x:c>
      <x:c r="U14" s="521" t="str">
        <x:f>IF(MAX(E14:S14)=0,"",SUM(F14,I14,L14,O14))</x:f>
      </x:c>
      <x:c r="V14" s="521" t="str">
        <x:f>IF(MAX(E14:S14)=0,"",SUM(G14,J14,M14,P14))</x:f>
      </x:c>
      <x:c r="W14" s="521" t="str">
        <x:f>IF(MAX(E14:S14)=0,"",S14)</x:f>
      </x:c>
      <x:c r="X14" s="521" t="str">
        <x:f>IF(MAX(E14:S14)=0,"",SUM(T14:W14))</x:f>
      </x:c>
      <x:c r="Y14" s="524" t="str">
        <x:f>IF(MAX(E14:S14)=0,"",INDEX($E$5:$S$5,1,MATCH(MAX(E14:S14),E14:S14,0)))</x:f>
      </x:c>
    </x:row>
    <x:row r="15" ht="20" customHeight="1">
      <x:c r="A15" s="516"/>
      <x:c r="B15" s="522"/>
      <x:c r="C15" s="516"/>
      <x:c r="D15" s="520"/>
      <x:c r="E15" s="523"/>
      <x:c r="F15" s="523"/>
      <x:c r="G15" s="523"/>
      <x:c r="H15" s="523"/>
      <x:c r="I15" s="523"/>
      <x:c r="J15" s="523"/>
      <x:c r="K15" s="523"/>
      <x:c r="L15" s="523"/>
      <x:c r="M15" s="523"/>
      <x:c r="N15" s="523"/>
      <x:c r="O15" s="523"/>
      <x:c r="P15" s="523"/>
      <x:c r="Q15" s="523"/>
      <x:c r="R15" s="523"/>
      <x:c r="S15" s="523"/>
      <x:c r="T15" s="521" t="str">
        <x:f>IF(MAX(E15:S15)=0,"",SUM(E15,H15,K15,N15,Q15,R15))</x:f>
      </x:c>
      <x:c r="U15" s="521" t="str">
        <x:f>IF(MAX(E15:S15)=0,"",SUM(F15,I15,L15,O15))</x:f>
      </x:c>
      <x:c r="V15" s="521" t="str">
        <x:f>IF(MAX(E15:S15)=0,"",SUM(G15,J15,M15,P15))</x:f>
      </x:c>
      <x:c r="W15" s="521" t="str">
        <x:f>IF(MAX(E15:S15)=0,"",S15)</x:f>
      </x:c>
      <x:c r="X15" s="521" t="str">
        <x:f>IF(MAX(E15:S15)=0,"",SUM(T15:W15))</x:f>
      </x:c>
      <x:c r="Y15" s="524" t="str">
        <x:f>IF(MAX(E15:S15)=0,"",INDEX($E$5:$S$5,1,MATCH(MAX(E15:S15),E15:S15,0)))</x:f>
      </x:c>
    </x:row>
    <x:row r="16" ht="20" customHeight="1">
      <x:c r="A16" s="516"/>
      <x:c r="B16" s="522"/>
      <x:c r="C16" s="516"/>
      <x:c r="D16" s="520"/>
      <x:c r="E16" s="523"/>
      <x:c r="F16" s="523"/>
      <x:c r="G16" s="523"/>
      <x:c r="H16" s="523"/>
      <x:c r="I16" s="523"/>
      <x:c r="J16" s="523"/>
      <x:c r="K16" s="523"/>
      <x:c r="L16" s="523"/>
      <x:c r="M16" s="523"/>
      <x:c r="N16" s="523"/>
      <x:c r="O16" s="523"/>
      <x:c r="P16" s="523"/>
      <x:c r="Q16" s="523"/>
      <x:c r="R16" s="523"/>
      <x:c r="S16" s="523"/>
      <x:c r="T16" s="521" t="str">
        <x:f>IF(MAX(E16:S16)=0,"",SUM(E16,H16,K16,N16,Q16,R16))</x:f>
      </x:c>
      <x:c r="U16" s="521" t="str">
        <x:f>IF(MAX(E16:S16)=0,"",SUM(F16,I16,L16,O16))</x:f>
      </x:c>
      <x:c r="V16" s="521" t="str">
        <x:f>IF(MAX(E16:S16)=0,"",SUM(G16,J16,M16,P16))</x:f>
      </x:c>
      <x:c r="W16" s="521" t="str">
        <x:f>IF(MAX(E16:S16)=0,"",S16)</x:f>
      </x:c>
      <x:c r="X16" s="521" t="str">
        <x:f>IF(MAX(E16:S16)=0,"",SUM(T16:W16))</x:f>
      </x:c>
      <x:c r="Y16" s="524" t="str">
        <x:f>IF(MAX(E16:S16)=0,"",INDEX($E$5:$S$5,1,MATCH(MAX(E16:S16),E16:S16,0)))</x:f>
      </x:c>
    </x:row>
    <x:row r="17" ht="20" customHeight="1">
      <x:c r="A17" s="516"/>
      <x:c r="B17" s="522"/>
      <x:c r="C17" s="516"/>
      <x:c r="D17" s="520"/>
      <x:c r="E17" s="523"/>
      <x:c r="F17" s="523"/>
      <x:c r="G17" s="523"/>
      <x:c r="H17" s="523"/>
      <x:c r="I17" s="523"/>
      <x:c r="J17" s="523"/>
      <x:c r="K17" s="523"/>
      <x:c r="L17" s="523"/>
      <x:c r="M17" s="523"/>
      <x:c r="N17" s="523"/>
      <x:c r="O17" s="523"/>
      <x:c r="P17" s="523"/>
      <x:c r="Q17" s="523"/>
      <x:c r="R17" s="523"/>
      <x:c r="S17" s="523"/>
      <x:c r="T17" s="521" t="str">
        <x:f>IF(MAX(E17:S17)=0,"",SUM(E17,H17,K17,N17,Q17,R17))</x:f>
      </x:c>
      <x:c r="U17" s="521" t="str">
        <x:f>IF(MAX(E17:S17)=0,"",SUM(F17,I17,L17,O17))</x:f>
      </x:c>
      <x:c r="V17" s="521" t="str">
        <x:f>IF(MAX(E17:S17)=0,"",SUM(G17,J17,M17,P17))</x:f>
      </x:c>
      <x:c r="W17" s="521" t="str">
        <x:f>IF(MAX(E17:S17)=0,"",S17)</x:f>
      </x:c>
      <x:c r="X17" s="521" t="str">
        <x:f>IF(MAX(E17:S17)=0,"",SUM(T17:W17))</x:f>
      </x:c>
      <x:c r="Y17" s="524" t="str">
        <x:f>IF(MAX(E17:S17)=0,"",INDEX($E$5:$S$5,1,MATCH(MAX(E17:S17),E17:S17,0)))</x:f>
      </x:c>
    </x:row>
    <x:row r="18" ht="20" customHeight="1">
      <x:c r="A18" s="516"/>
      <x:c r="B18" s="522"/>
      <x:c r="C18" s="516"/>
      <x:c r="D18" s="520"/>
      <x:c r="E18" s="523"/>
      <x:c r="F18" s="523"/>
      <x:c r="G18" s="523"/>
      <x:c r="H18" s="523"/>
      <x:c r="I18" s="523"/>
      <x:c r="J18" s="523"/>
      <x:c r="K18" s="523"/>
      <x:c r="L18" s="523"/>
      <x:c r="M18" s="523"/>
      <x:c r="N18" s="523"/>
      <x:c r="O18" s="523"/>
      <x:c r="P18" s="523"/>
      <x:c r="Q18" s="523"/>
      <x:c r="R18" s="523"/>
      <x:c r="S18" s="523"/>
      <x:c r="T18" s="521" t="str">
        <x:f>IF(MAX(E18:S18)=0,"",SUM(E18,H18,K18,N18,Q18,R18))</x:f>
      </x:c>
      <x:c r="U18" s="521" t="str">
        <x:f>IF(MAX(E18:S18)=0,"",SUM(F18,I18,L18,O18))</x:f>
      </x:c>
      <x:c r="V18" s="521" t="str">
        <x:f>IF(MAX(E18:S18)=0,"",SUM(G18,J18,M18,P18))</x:f>
      </x:c>
      <x:c r="W18" s="521" t="str">
        <x:f>IF(MAX(E18:S18)=0,"",S18)</x:f>
      </x:c>
      <x:c r="X18" s="521" t="str">
        <x:f>IF(MAX(E18:S18)=0,"",SUM(T18:W18))</x:f>
      </x:c>
      <x:c r="Y18" s="524" t="str">
        <x:f>IF(MAX(E18:S18)=0,"",INDEX($E$5:$S$5,1,MATCH(MAX(E18:S18),E18:S18,0)))</x:f>
      </x:c>
    </x:row>
    <x:row r="19" ht="20" customHeight="1">
      <x:c r="A19" s="516"/>
      <x:c r="B19" s="522"/>
      <x:c r="C19" s="516"/>
      <x:c r="D19" s="520"/>
      <x:c r="E19" s="523"/>
      <x:c r="F19" s="523"/>
      <x:c r="G19" s="523"/>
      <x:c r="H19" s="523"/>
      <x:c r="I19" s="523"/>
      <x:c r="J19" s="523"/>
      <x:c r="K19" s="523"/>
      <x:c r="L19" s="523"/>
      <x:c r="M19" s="523"/>
      <x:c r="N19" s="523"/>
      <x:c r="O19" s="523"/>
      <x:c r="P19" s="523"/>
      <x:c r="Q19" s="523"/>
      <x:c r="R19" s="523"/>
      <x:c r="S19" s="523"/>
      <x:c r="T19" s="521" t="str">
        <x:f>IF(MAX(E19:S19)=0,"",SUM(E19,H19,K19,N19,Q19,R19))</x:f>
      </x:c>
      <x:c r="U19" s="521" t="str">
        <x:f>IF(MAX(E19:S19)=0,"",SUM(F19,I19,L19,O19))</x:f>
      </x:c>
      <x:c r="V19" s="521" t="str">
        <x:f>IF(MAX(E19:S19)=0,"",SUM(G19,J19,M19,P19))</x:f>
      </x:c>
      <x:c r="W19" s="521" t="str">
        <x:f>IF(MAX(E19:S19)=0,"",S19)</x:f>
      </x:c>
      <x:c r="X19" s="521" t="str">
        <x:f>IF(MAX(E19:S19)=0,"",SUM(T19:W19))</x:f>
      </x:c>
      <x:c r="Y19" s="524" t="str">
        <x:f>IF(MAX(E19:S19)=0,"",INDEX($E$5:$S$5,1,MATCH(MAX(E19:S19),E19:S19,0)))</x:f>
      </x:c>
    </x:row>
    <x:row r="20" ht="20" customHeight="1">
      <x:c r="A20" s="516"/>
      <x:c r="B20" s="522"/>
      <x:c r="C20" s="516"/>
      <x:c r="D20" s="520"/>
      <x:c r="E20" s="523"/>
      <x:c r="F20" s="523"/>
      <x:c r="G20" s="523"/>
      <x:c r="H20" s="523"/>
      <x:c r="I20" s="523"/>
      <x:c r="J20" s="523"/>
      <x:c r="K20" s="523"/>
      <x:c r="L20" s="523"/>
      <x:c r="M20" s="523"/>
      <x:c r="N20" s="523"/>
      <x:c r="O20" s="523"/>
      <x:c r="P20" s="523"/>
      <x:c r="Q20" s="523"/>
      <x:c r="R20" s="523"/>
      <x:c r="S20" s="523"/>
      <x:c r="T20" s="521" t="str">
        <x:f>IF(MAX(E20:S20)=0,"",SUM(E20,H20,K20,N20,Q20,R20))</x:f>
      </x:c>
      <x:c r="U20" s="521" t="str">
        <x:f>IF(MAX(E20:S20)=0,"",SUM(F20,I20,L20,O20))</x:f>
      </x:c>
      <x:c r="V20" s="521" t="str">
        <x:f>IF(MAX(E20:S20)=0,"",SUM(G20,J20,M20,P20))</x:f>
      </x:c>
      <x:c r="W20" s="521" t="str">
        <x:f>IF(MAX(E20:S20)=0,"",S20)</x:f>
      </x:c>
      <x:c r="X20" s="521" t="str">
        <x:f>IF(MAX(E20:S20)=0,"",SUM(T20:W20))</x:f>
      </x:c>
      <x:c r="Y20" s="524" t="str">
        <x:f>IF(MAX(E20:S20)=0,"",INDEX($E$5:$S$5,1,MATCH(MAX(E20:S20),E20:S20,0)))</x:f>
      </x:c>
    </x:row>
    <x:row r="21" ht="20" customHeight="1">
      <x:c r="A21" s="516"/>
      <x:c r="B21" s="522"/>
      <x:c r="C21" s="516"/>
      <x:c r="D21" s="520"/>
      <x:c r="E21" s="523"/>
      <x:c r="F21" s="523"/>
      <x:c r="G21" s="523"/>
      <x:c r="H21" s="523"/>
      <x:c r="I21" s="523"/>
      <x:c r="J21" s="523"/>
      <x:c r="K21" s="523"/>
      <x:c r="L21" s="523"/>
      <x:c r="M21" s="523"/>
      <x:c r="N21" s="523"/>
      <x:c r="O21" s="523"/>
      <x:c r="P21" s="523"/>
      <x:c r="Q21" s="523"/>
      <x:c r="R21" s="523"/>
      <x:c r="S21" s="523"/>
      <x:c r="T21" s="521" t="str">
        <x:f>IF(MAX(E21:S21)=0,"",SUM(E21,H21,K21,N21,Q21,R21))</x:f>
      </x:c>
      <x:c r="U21" s="521" t="str">
        <x:f>IF(MAX(E21:S21)=0,"",SUM(F21,I21,L21,O21))</x:f>
      </x:c>
      <x:c r="V21" s="521" t="str">
        <x:f>IF(MAX(E21:S21)=0,"",SUM(G21,J21,M21,P21))</x:f>
      </x:c>
      <x:c r="W21" s="521" t="str">
        <x:f>IF(MAX(E21:S21)=0,"",S21)</x:f>
      </x:c>
      <x:c r="X21" s="521" t="str">
        <x:f>IF(MAX(E21:S21)=0,"",SUM(T21:W21))</x:f>
      </x:c>
      <x:c r="Y21" s="524" t="str">
        <x:f>IF(MAX(E21:S21)=0,"",INDEX($E$5:$S$5,1,MATCH(MAX(E21:S21),E21:S21,0)))</x:f>
      </x:c>
    </x:row>
    <x:row r="22" ht="20" customHeight="1">
      <x:c r="A22" s="516"/>
      <x:c r="B22" s="522"/>
      <x:c r="C22" s="516"/>
      <x:c r="D22" s="520"/>
      <x:c r="E22" s="523"/>
      <x:c r="F22" s="523"/>
      <x:c r="G22" s="523"/>
      <x:c r="H22" s="523"/>
      <x:c r="I22" s="523"/>
      <x:c r="J22" s="523"/>
      <x:c r="K22" s="523"/>
      <x:c r="L22" s="523"/>
      <x:c r="M22" s="523"/>
      <x:c r="N22" s="523"/>
      <x:c r="O22" s="523"/>
      <x:c r="P22" s="523"/>
      <x:c r="Q22" s="523"/>
      <x:c r="R22" s="523"/>
      <x:c r="S22" s="523"/>
      <x:c r="T22" s="521" t="str">
        <x:f>IF(MAX(E22:S22)=0,"",SUM(E22,H22,K22,N22,Q22,R22))</x:f>
      </x:c>
      <x:c r="U22" s="521" t="str">
        <x:f>IF(MAX(E22:S22)=0,"",SUM(F22,I22,L22,O22))</x:f>
      </x:c>
      <x:c r="V22" s="521" t="str">
        <x:f>IF(MAX(E22:S22)=0,"",SUM(G22,J22,M22,P22))</x:f>
      </x:c>
      <x:c r="W22" s="521" t="str">
        <x:f>IF(MAX(E22:S22)=0,"",S22)</x:f>
      </x:c>
      <x:c r="X22" s="521" t="str">
        <x:f>IF(MAX(E22:S22)=0,"",SUM(T22:W22))</x:f>
      </x:c>
      <x:c r="Y22" s="524" t="str">
        <x:f>IF(MAX(E22:S22)=0,"",INDEX($E$5:$S$5,1,MATCH(MAX(E22:S22),E22:S22,0)))</x:f>
      </x:c>
    </x:row>
    <x:row r="23" ht="20" customHeight="1">
      <x:c r="A23" s="516"/>
      <x:c r="B23" s="522"/>
      <x:c r="C23" s="516"/>
      <x:c r="D23" s="520"/>
      <x:c r="E23" s="523"/>
      <x:c r="F23" s="523"/>
      <x:c r="G23" s="523"/>
      <x:c r="H23" s="523"/>
      <x:c r="I23" s="523"/>
      <x:c r="J23" s="523"/>
      <x:c r="K23" s="523"/>
      <x:c r="L23" s="523"/>
      <x:c r="M23" s="523"/>
      <x:c r="N23" s="523"/>
      <x:c r="O23" s="523"/>
      <x:c r="P23" s="523"/>
      <x:c r="Q23" s="523"/>
      <x:c r="R23" s="523"/>
      <x:c r="S23" s="523"/>
      <x:c r="T23" s="521" t="str">
        <x:f>IF(MAX(E23:S23)=0,"",SUM(E23,H23,K23,N23,Q23,R23))</x:f>
      </x:c>
      <x:c r="U23" s="521" t="str">
        <x:f>IF(MAX(E23:S23)=0,"",SUM(F23,I23,L23,O23))</x:f>
      </x:c>
      <x:c r="V23" s="521" t="str">
        <x:f>IF(MAX(E23:S23)=0,"",SUM(G23,J23,M23,P23))</x:f>
      </x:c>
      <x:c r="W23" s="521" t="str">
        <x:f>IF(MAX(E23:S23)=0,"",S23)</x:f>
      </x:c>
      <x:c r="X23" s="521" t="str">
        <x:f>IF(MAX(E23:S23)=0,"",SUM(T23:W23))</x:f>
      </x:c>
      <x:c r="Y23" s="524" t="str">
        <x:f>IF(MAX(E23:S23)=0,"",INDEX($E$5:$S$5,1,MATCH(MAX(E23:S23),E23:S23,0)))</x:f>
      </x:c>
    </x:row>
    <x:row r="24" ht="20" customHeight="1">
      <x:c r="A24" s="516"/>
      <x:c r="B24" s="522"/>
      <x:c r="C24" s="516"/>
      <x:c r="D24" s="520"/>
      <x:c r="E24" s="523"/>
      <x:c r="F24" s="523"/>
      <x:c r="G24" s="523"/>
      <x:c r="H24" s="523"/>
      <x:c r="I24" s="523"/>
      <x:c r="J24" s="523"/>
      <x:c r="K24" s="523"/>
      <x:c r="L24" s="523"/>
      <x:c r="M24" s="523"/>
      <x:c r="N24" s="523"/>
      <x:c r="O24" s="523"/>
      <x:c r="P24" s="523"/>
      <x:c r="Q24" s="523"/>
      <x:c r="R24" s="523"/>
      <x:c r="S24" s="523"/>
      <x:c r="T24" s="521" t="str">
        <x:f>IF(MAX(E24:S24)=0,"",SUM(E24,H24,K24,N24,Q24,R24))</x:f>
      </x:c>
      <x:c r="U24" s="521" t="str">
        <x:f>IF(MAX(E24:S24)=0,"",SUM(F24,I24,L24,O24))</x:f>
      </x:c>
      <x:c r="V24" s="521" t="str">
        <x:f>IF(MAX(E24:S24)=0,"",SUM(G24,J24,M24,P24))</x:f>
      </x:c>
      <x:c r="W24" s="521" t="str">
        <x:f>IF(MAX(E24:S24)=0,"",S24)</x:f>
      </x:c>
      <x:c r="X24" s="521" t="str">
        <x:f>IF(MAX(E24:S24)=0,"",SUM(T24:W24))</x:f>
      </x:c>
      <x:c r="Y24" s="524" t="str">
        <x:f>IF(MAX(E24:S24)=0,"",INDEX($E$5:$S$5,1,MATCH(MAX(E24:S24),E24:S24,0)))</x:f>
      </x:c>
    </x:row>
    <x:row r="25" ht="20" customHeight="1">
      <x:c r="A25" s="516"/>
      <x:c r="B25" s="522"/>
      <x:c r="C25" s="516"/>
      <x:c r="D25" s="520"/>
      <x:c r="E25" s="523"/>
      <x:c r="F25" s="523"/>
      <x:c r="G25" s="523"/>
      <x:c r="H25" s="523"/>
      <x:c r="I25" s="523"/>
      <x:c r="J25" s="523"/>
      <x:c r="K25" s="523"/>
      <x:c r="L25" s="523"/>
      <x:c r="M25" s="523"/>
      <x:c r="N25" s="523"/>
      <x:c r="O25" s="523"/>
      <x:c r="P25" s="523"/>
      <x:c r="Q25" s="523"/>
      <x:c r="R25" s="523"/>
      <x:c r="S25" s="523"/>
      <x:c r="T25" s="521" t="str">
        <x:f>IF(MAX(E25:S25)=0,"",SUM(E25,H25,K25,N25,Q25,R25))</x:f>
      </x:c>
      <x:c r="U25" s="521" t="str">
        <x:f>IF(MAX(E25:S25)=0,"",SUM(F25,I25,L25,O25))</x:f>
      </x:c>
      <x:c r="V25" s="521" t="str">
        <x:f>IF(MAX(E25:S25)=0,"",SUM(G25,J25,M25,P25))</x:f>
      </x:c>
      <x:c r="W25" s="521" t="str">
        <x:f>IF(MAX(E25:S25)=0,"",S25)</x:f>
      </x:c>
      <x:c r="X25" s="521" t="str">
        <x:f>IF(MAX(E25:S25)=0,"",SUM(T25:W25))</x:f>
      </x:c>
      <x:c r="Y25" s="524" t="str">
        <x:f>IF(MAX(E25:S25)=0,"",INDEX($E$5:$S$5,1,MATCH(MAX(E25:S25),E25:S25,0)))</x:f>
      </x:c>
    </x:row>
    <x:row r="26" ht="20" customHeight="1">
      <x:c r="A26" s="516"/>
      <x:c r="B26" s="522"/>
      <x:c r="C26" s="516"/>
      <x:c r="D26" s="520"/>
      <x:c r="E26" s="523"/>
      <x:c r="F26" s="523"/>
      <x:c r="G26" s="523"/>
      <x:c r="H26" s="523"/>
      <x:c r="I26" s="523"/>
      <x:c r="J26" s="523"/>
      <x:c r="K26" s="523"/>
      <x:c r="L26" s="523"/>
      <x:c r="M26" s="523"/>
      <x:c r="N26" s="523"/>
      <x:c r="O26" s="523"/>
      <x:c r="P26" s="523"/>
      <x:c r="Q26" s="523"/>
      <x:c r="R26" s="523"/>
      <x:c r="S26" s="523"/>
      <x:c r="T26" s="521" t="str">
        <x:f>IF(MAX(E26:S26)=0,"",SUM(E26,H26,K26,N26,Q26,R26))</x:f>
      </x:c>
      <x:c r="U26" s="521" t="str">
        <x:f>IF(MAX(E26:S26)=0,"",SUM(F26,I26,L26,O26))</x:f>
      </x:c>
      <x:c r="V26" s="521" t="str">
        <x:f>IF(MAX(E26:S26)=0,"",SUM(G26,J26,M26,P26))</x:f>
      </x:c>
      <x:c r="W26" s="521" t="str">
        <x:f>IF(MAX(E26:S26)=0,"",S26)</x:f>
      </x:c>
      <x:c r="X26" s="521" t="str">
        <x:f>IF(MAX(E26:S26)=0,"",SUM(T26:W26))</x:f>
      </x:c>
      <x:c r="Y26" s="524" t="str">
        <x:f>IF(MAX(E26:S26)=0,"",INDEX($E$5:$S$5,1,MATCH(MAX(E26:S26),E26:S26,0)))</x:f>
      </x:c>
    </x:row>
    <x:row r="27" ht="20" customHeight="1">
      <x:c r="A27" s="516"/>
      <x:c r="B27" s="522"/>
      <x:c r="C27" s="516"/>
      <x:c r="D27" s="520"/>
      <x:c r="E27" s="523"/>
      <x:c r="F27" s="523"/>
      <x:c r="G27" s="523"/>
      <x:c r="H27" s="523"/>
      <x:c r="I27" s="523"/>
      <x:c r="J27" s="523"/>
      <x:c r="K27" s="523"/>
      <x:c r="L27" s="523"/>
      <x:c r="M27" s="523"/>
      <x:c r="N27" s="523"/>
      <x:c r="O27" s="523"/>
      <x:c r="P27" s="523"/>
      <x:c r="Q27" s="523"/>
      <x:c r="R27" s="523"/>
      <x:c r="S27" s="523"/>
      <x:c r="T27" s="521" t="str">
        <x:f>IF(MAX(E27:S27)=0,"",SUM(E27,H27,K27,N27,Q27,R27))</x:f>
      </x:c>
      <x:c r="U27" s="521" t="str">
        <x:f>IF(MAX(E27:S27)=0,"",SUM(F27,I27,L27,O27))</x:f>
      </x:c>
      <x:c r="V27" s="521" t="str">
        <x:f>IF(MAX(E27:S27)=0,"",SUM(G27,J27,M27,P27))</x:f>
      </x:c>
      <x:c r="W27" s="521" t="str">
        <x:f>IF(MAX(E27:S27)=0,"",S27)</x:f>
      </x:c>
      <x:c r="X27" s="521" t="str">
        <x:f>IF(MAX(E27:S27)=0,"",SUM(T27:W27))</x:f>
      </x:c>
      <x:c r="Y27" s="524" t="str">
        <x:f>IF(MAX(E27:S27)=0,"",INDEX($E$5:$S$5,1,MATCH(MAX(E27:S27),E27:S27,0)))</x:f>
      </x:c>
    </x:row>
    <x:row r="28" ht="20" customHeight="1">
      <x:c r="A28" s="516"/>
      <x:c r="B28" s="522"/>
      <x:c r="C28" s="516"/>
      <x:c r="D28" s="520"/>
      <x:c r="E28" s="523"/>
      <x:c r="F28" s="523"/>
      <x:c r="G28" s="523"/>
      <x:c r="H28" s="523"/>
      <x:c r="I28" s="523"/>
      <x:c r="J28" s="523"/>
      <x:c r="K28" s="523"/>
      <x:c r="L28" s="523"/>
      <x:c r="M28" s="523"/>
      <x:c r="N28" s="523"/>
      <x:c r="O28" s="523"/>
      <x:c r="P28" s="523"/>
      <x:c r="Q28" s="523"/>
      <x:c r="R28" s="523"/>
      <x:c r="S28" s="523"/>
      <x:c r="T28" s="521" t="str">
        <x:f>IF(MAX(E28:S28)=0,"",SUM(E28,H28,K28,N28,Q28,R28))</x:f>
      </x:c>
      <x:c r="U28" s="521" t="str">
        <x:f>IF(MAX(E28:S28)=0,"",SUM(F28,I28,L28,O28))</x:f>
      </x:c>
      <x:c r="V28" s="521" t="str">
        <x:f>IF(MAX(E28:S28)=0,"",SUM(G28,J28,M28,P28))</x:f>
      </x:c>
      <x:c r="W28" s="521" t="str">
        <x:f>IF(MAX(E28:S28)=0,"",S28)</x:f>
      </x:c>
      <x:c r="X28" s="521" t="str">
        <x:f>IF(MAX(E28:S28)=0,"",SUM(T28:W28))</x:f>
      </x:c>
      <x:c r="Y28" s="524" t="str">
        <x:f>IF(MAX(E28:S28)=0,"",INDEX($E$5:$S$5,1,MATCH(MAX(E28:S28),E28:S28,0)))</x:f>
      </x:c>
    </x:row>
    <x:row r="29" ht="20" customHeight="1">
      <x:c r="A29" s="516"/>
      <x:c r="B29" s="522"/>
      <x:c r="C29" s="516"/>
      <x:c r="D29" s="520"/>
      <x:c r="E29" s="523"/>
      <x:c r="F29" s="523"/>
      <x:c r="G29" s="523"/>
      <x:c r="H29" s="523"/>
      <x:c r="I29" s="523"/>
      <x:c r="J29" s="523"/>
      <x:c r="K29" s="523"/>
      <x:c r="L29" s="523"/>
      <x:c r="M29" s="523"/>
      <x:c r="N29" s="523"/>
      <x:c r="O29" s="523"/>
      <x:c r="P29" s="523"/>
      <x:c r="Q29" s="523"/>
      <x:c r="R29" s="523"/>
      <x:c r="S29" s="523"/>
      <x:c r="T29" s="521" t="str">
        <x:f>IF(MAX(E29:S29)=0,"",SUM(E29,H29,K29,N29,Q29,R29))</x:f>
      </x:c>
      <x:c r="U29" s="521" t="str">
        <x:f>IF(MAX(E29:S29)=0,"",SUM(F29,I29,L29,O29))</x:f>
      </x:c>
      <x:c r="V29" s="521" t="str">
        <x:f>IF(MAX(E29:S29)=0,"",SUM(G29,J29,M29,P29))</x:f>
      </x:c>
      <x:c r="W29" s="521" t="str">
        <x:f>IF(MAX(E29:S29)=0,"",S29)</x:f>
      </x:c>
      <x:c r="X29" s="521" t="str">
        <x:f>IF(MAX(E29:S29)=0,"",SUM(T29:W29))</x:f>
      </x:c>
      <x:c r="Y29" s="524" t="str">
        <x:f>IF(MAX(E29:S29)=0,"",INDEX($E$5:$S$5,1,MATCH(MAX(E29:S29),E29:S29,0)))</x:f>
      </x:c>
    </x:row>
    <x:row r="30" ht="20" customHeight="1">
      <x:c r="A30" s="516"/>
      <x:c r="B30" s="522"/>
      <x:c r="C30" s="516"/>
      <x:c r="D30" s="520"/>
      <x:c r="E30" s="523"/>
      <x:c r="F30" s="523"/>
      <x:c r="G30" s="523"/>
      <x:c r="H30" s="523"/>
      <x:c r="I30" s="523"/>
      <x:c r="J30" s="523"/>
      <x:c r="K30" s="523"/>
      <x:c r="L30" s="523"/>
      <x:c r="M30" s="523"/>
      <x:c r="N30" s="523"/>
      <x:c r="O30" s="523"/>
      <x:c r="P30" s="523"/>
      <x:c r="Q30" s="523"/>
      <x:c r="R30" s="523"/>
      <x:c r="S30" s="523"/>
      <x:c r="T30" s="521" t="str">
        <x:f>IF(MAX(E30:S30)=0,"",SUM(E30,H30,K30,N30,Q30,R30))</x:f>
      </x:c>
      <x:c r="U30" s="521" t="str">
        <x:f>IF(MAX(E30:S30)=0,"",SUM(F30,I30,L30,O30))</x:f>
      </x:c>
      <x:c r="V30" s="521" t="str">
        <x:f>IF(MAX(E30:S30)=0,"",SUM(G30,J30,M30,P30))</x:f>
      </x:c>
      <x:c r="W30" s="521" t="str">
        <x:f>IF(MAX(E30:S30)=0,"",S30)</x:f>
      </x:c>
      <x:c r="X30" s="521" t="str">
        <x:f>IF(MAX(E30:S30)=0,"",SUM(T30:W30))</x:f>
      </x:c>
      <x:c r="Y30" s="524" t="str">
        <x:f>IF(MAX(E30:S30)=0,"",INDEX($E$5:$S$5,1,MATCH(MAX(E30:S30),E30:S30,0)))</x:f>
      </x:c>
    </x:row>
    <x:row r="31" ht="20" customHeight="1">
      <x:c r="A31" s="516"/>
      <x:c r="B31" s="522"/>
      <x:c r="C31" s="516"/>
      <x:c r="D31" s="520"/>
      <x:c r="E31" s="523"/>
      <x:c r="F31" s="523"/>
      <x:c r="G31" s="523"/>
      <x:c r="H31" s="523"/>
      <x:c r="I31" s="523"/>
      <x:c r="J31" s="523"/>
      <x:c r="K31" s="523"/>
      <x:c r="L31" s="523"/>
      <x:c r="M31" s="523"/>
      <x:c r="N31" s="523"/>
      <x:c r="O31" s="523"/>
      <x:c r="P31" s="523"/>
      <x:c r="Q31" s="523"/>
      <x:c r="R31" s="523"/>
      <x:c r="S31" s="523"/>
      <x:c r="T31" s="521" t="str">
        <x:f>IF(MAX(E31:S31)=0,"",SUM(E31,H31,K31,N31,Q31,R31))</x:f>
      </x:c>
      <x:c r="U31" s="521" t="str">
        <x:f>IF(MAX(E31:S31)=0,"",SUM(F31,I31,L31,O31))</x:f>
      </x:c>
      <x:c r="V31" s="521" t="str">
        <x:f>IF(MAX(E31:S31)=0,"",SUM(G31,J31,M31,P31))</x:f>
      </x:c>
      <x:c r="W31" s="521" t="str">
        <x:f>IF(MAX(E31:S31)=0,"",S31)</x:f>
      </x:c>
      <x:c r="X31" s="521" t="str">
        <x:f>IF(MAX(E31:S31)=0,"",SUM(T31:W31))</x:f>
      </x:c>
      <x:c r="Y31" s="524" t="str">
        <x:f>IF(MAX(E31:S31)=0,"",INDEX($E$5:$S$5,1,MATCH(MAX(E31:S31),E31:S31,0)))</x:f>
      </x:c>
    </x:row>
    <x:row r="32" ht="20" customHeight="1">
      <x:c r="A32" s="516"/>
      <x:c r="B32" s="522"/>
      <x:c r="C32" s="516"/>
      <x:c r="D32" s="520"/>
      <x:c r="E32" s="523"/>
      <x:c r="F32" s="523"/>
      <x:c r="G32" s="523"/>
      <x:c r="H32" s="523"/>
      <x:c r="I32" s="523"/>
      <x:c r="J32" s="523"/>
      <x:c r="K32" s="523"/>
      <x:c r="L32" s="523"/>
      <x:c r="M32" s="523"/>
      <x:c r="N32" s="523"/>
      <x:c r="O32" s="523"/>
      <x:c r="P32" s="523"/>
      <x:c r="Q32" s="523"/>
      <x:c r="R32" s="523"/>
      <x:c r="S32" s="523"/>
      <x:c r="T32" s="521" t="str">
        <x:f>IF(MAX(E32:S32)=0,"",SUM(E32,H32,K32,N32,Q32,R32))</x:f>
      </x:c>
      <x:c r="U32" s="521" t="str">
        <x:f>IF(MAX(E32:S32)=0,"",SUM(F32,I32,L32,O32))</x:f>
      </x:c>
      <x:c r="V32" s="521" t="str">
        <x:f>IF(MAX(E32:S32)=0,"",SUM(G32,J32,M32,P32))</x:f>
      </x:c>
      <x:c r="W32" s="521" t="str">
        <x:f>IF(MAX(E32:S32)=0,"",S32)</x:f>
      </x:c>
      <x:c r="X32" s="521" t="str">
        <x:f>IF(MAX(E32:S32)=0,"",SUM(T32:W32))</x:f>
      </x:c>
      <x:c r="Y32" s="524" t="str">
        <x:f>IF(MAX(E32:S32)=0,"",INDEX($E$5:$S$5,1,MATCH(MAX(E32:S32),E32:S32,0)))</x:f>
      </x:c>
    </x:row>
    <x:row r="33" ht="20" customHeight="1">
      <x:c r="A33" s="516"/>
      <x:c r="B33" s="522"/>
      <x:c r="C33" s="516"/>
      <x:c r="D33" s="520"/>
      <x:c r="E33" s="523"/>
      <x:c r="F33" s="523"/>
      <x:c r="G33" s="523"/>
      <x:c r="H33" s="523"/>
      <x:c r="I33" s="523"/>
      <x:c r="J33" s="523"/>
      <x:c r="K33" s="523"/>
      <x:c r="L33" s="523"/>
      <x:c r="M33" s="523"/>
      <x:c r="N33" s="523"/>
      <x:c r="O33" s="523"/>
      <x:c r="P33" s="523"/>
      <x:c r="Q33" s="523"/>
      <x:c r="R33" s="523"/>
      <x:c r="S33" s="523"/>
      <x:c r="T33" s="521" t="str">
        <x:f>IF(MAX(E33:S33)=0,"",SUM(E33,H33,K33,N33,Q33,R33))</x:f>
      </x:c>
      <x:c r="U33" s="521" t="str">
        <x:f>IF(MAX(E33:S33)=0,"",SUM(F33,I33,L33,O33))</x:f>
      </x:c>
      <x:c r="V33" s="521" t="str">
        <x:f>IF(MAX(E33:S33)=0,"",SUM(G33,J33,M33,P33))</x:f>
      </x:c>
      <x:c r="W33" s="521" t="str">
        <x:f>IF(MAX(E33:S33)=0,"",S33)</x:f>
      </x:c>
      <x:c r="X33" s="521" t="str">
        <x:f>IF(MAX(E33:S33)=0,"",SUM(T33:W33))</x:f>
      </x:c>
      <x:c r="Y33" s="524" t="str">
        <x:f>IF(MAX(E33:S33)=0,"",INDEX($E$5:$S$5,1,MATCH(MAX(E33:S33),E33:S33,0)))</x:f>
      </x:c>
    </x:row>
    <x:row r="34" ht="20" customHeight="1">
      <x:c r="A34" s="516"/>
      <x:c r="B34" s="522"/>
      <x:c r="C34" s="516"/>
      <x:c r="D34" s="520"/>
      <x:c r="E34" s="523"/>
      <x:c r="F34" s="523"/>
      <x:c r="G34" s="523"/>
      <x:c r="H34" s="523"/>
      <x:c r="I34" s="523"/>
      <x:c r="J34" s="523"/>
      <x:c r="K34" s="523"/>
      <x:c r="L34" s="523"/>
      <x:c r="M34" s="523"/>
      <x:c r="N34" s="523"/>
      <x:c r="O34" s="523"/>
      <x:c r="P34" s="523"/>
      <x:c r="Q34" s="523"/>
      <x:c r="R34" s="523"/>
      <x:c r="S34" s="523"/>
      <x:c r="T34" s="521" t="str">
        <x:f>IF(MAX(E34:S34)=0,"",SUM(E34,H34,K34,N34,Q34,R34))</x:f>
      </x:c>
      <x:c r="U34" s="521" t="str">
        <x:f>IF(MAX(E34:S34)=0,"",SUM(F34,I34,L34,O34))</x:f>
      </x:c>
      <x:c r="V34" s="521" t="str">
        <x:f>IF(MAX(E34:S34)=0,"",SUM(G34,J34,M34,P34))</x:f>
      </x:c>
      <x:c r="W34" s="521" t="str">
        <x:f>IF(MAX(E34:S34)=0,"",S34)</x:f>
      </x:c>
      <x:c r="X34" s="521" t="str">
        <x:f>IF(MAX(E34:S34)=0,"",SUM(T34:W34))</x:f>
      </x:c>
      <x:c r="Y34" s="524" t="str">
        <x:f>IF(MAX(E34:S34)=0,"",INDEX($E$5:$S$5,1,MATCH(MAX(E34:S34),E34:S34,0)))</x:f>
      </x:c>
    </x:row>
    <x:row r="35" ht="20" customHeight="1">
      <x:c r="A35" s="516"/>
      <x:c r="B35" s="522"/>
      <x:c r="C35" s="516"/>
      <x:c r="D35" s="520"/>
      <x:c r="E35" s="523"/>
      <x:c r="F35" s="523"/>
      <x:c r="G35" s="523"/>
      <x:c r="H35" s="523"/>
      <x:c r="I35" s="523"/>
      <x:c r="J35" s="523"/>
      <x:c r="K35" s="523"/>
      <x:c r="L35" s="523"/>
      <x:c r="M35" s="523"/>
      <x:c r="N35" s="523"/>
      <x:c r="O35" s="523"/>
      <x:c r="P35" s="523"/>
      <x:c r="Q35" s="523"/>
      <x:c r="R35" s="523"/>
      <x:c r="S35" s="523"/>
      <x:c r="T35" s="521" t="str">
        <x:f>IF(MAX(E35:S35)=0,"",SUM(E35,H35,K35,N35,Q35,R35))</x:f>
      </x:c>
      <x:c r="U35" s="521" t="str">
        <x:f>IF(MAX(E35:S35)=0,"",SUM(F35,I35,L35,O35))</x:f>
      </x:c>
      <x:c r="V35" s="521" t="str">
        <x:f>IF(MAX(E35:S35)=0,"",SUM(G35,J35,M35,P35))</x:f>
      </x:c>
      <x:c r="W35" s="521" t="str">
        <x:f>IF(MAX(E35:S35)=0,"",S35)</x:f>
      </x:c>
      <x:c r="X35" s="521" t="str">
        <x:f>IF(MAX(E35:S35)=0,"",SUM(T35:W35))</x:f>
      </x:c>
      <x:c r="Y35" s="524" t="str">
        <x:f>IF(MAX(E35:S35)=0,"",INDEX($E$5:$S$5,1,MATCH(MAX(E35:S35),E35:S35,0)))</x:f>
      </x:c>
    </x:row>
    <x:row r="36" ht="20" customHeight="1">
      <x:c r="A36" s="516"/>
      <x:c r="B36" s="522"/>
      <x:c r="C36" s="516"/>
      <x:c r="D36" s="520"/>
      <x:c r="E36" s="523"/>
      <x:c r="F36" s="523"/>
      <x:c r="G36" s="523"/>
      <x:c r="H36" s="523"/>
      <x:c r="I36" s="523"/>
      <x:c r="J36" s="523"/>
      <x:c r="K36" s="523"/>
      <x:c r="L36" s="523"/>
      <x:c r="M36" s="523"/>
      <x:c r="N36" s="523"/>
      <x:c r="O36" s="523"/>
      <x:c r="P36" s="523"/>
      <x:c r="Q36" s="523"/>
      <x:c r="R36" s="523"/>
      <x:c r="S36" s="523"/>
      <x:c r="T36" s="521" t="str">
        <x:f>IF(MAX(E36:S36)=0,"",SUM(E36,H36,K36,N36,Q36,R36))</x:f>
      </x:c>
      <x:c r="U36" s="521" t="str">
        <x:f>IF(MAX(E36:S36)=0,"",SUM(F36,I36,L36,O36))</x:f>
      </x:c>
      <x:c r="V36" s="521" t="str">
        <x:f>IF(MAX(E36:S36)=0,"",SUM(G36,J36,M36,P36))</x:f>
      </x:c>
      <x:c r="W36" s="521" t="str">
        <x:f>IF(MAX(E36:S36)=0,"",S36)</x:f>
      </x:c>
      <x:c r="X36" s="521" t="str">
        <x:f>IF(MAX(E36:S36)=0,"",SUM(T36:W36))</x:f>
      </x:c>
      <x:c r="Y36" s="524" t="str">
        <x:f>IF(MAX(E36:S36)=0,"",INDEX($E$5:$S$5,1,MATCH(MAX(E36:S36),E36:S36,0)))</x:f>
      </x:c>
    </x:row>
    <x:row r="37" ht="20" customHeight="1">
      <x:c r="A37" s="516"/>
      <x:c r="B37" s="522"/>
      <x:c r="C37" s="516"/>
      <x:c r="D37" s="520"/>
      <x:c r="E37" s="523"/>
      <x:c r="F37" s="523"/>
      <x:c r="G37" s="523"/>
      <x:c r="H37" s="523"/>
      <x:c r="I37" s="523"/>
      <x:c r="J37" s="523"/>
      <x:c r="K37" s="523"/>
      <x:c r="L37" s="523"/>
      <x:c r="M37" s="523"/>
      <x:c r="N37" s="523"/>
      <x:c r="O37" s="523"/>
      <x:c r="P37" s="523"/>
      <x:c r="Q37" s="523"/>
      <x:c r="R37" s="523"/>
      <x:c r="S37" s="523"/>
      <x:c r="T37" s="521" t="str">
        <x:f>IF(MAX(E37:S37)=0,"",SUM(E37,H37,K37,N37,Q37,R37))</x:f>
      </x:c>
      <x:c r="U37" s="521" t="str">
        <x:f>IF(MAX(E37:S37)=0,"",SUM(F37,I37,L37,O37))</x:f>
      </x:c>
      <x:c r="V37" s="521" t="str">
        <x:f>IF(MAX(E37:S37)=0,"",SUM(G37,J37,M37,P37))</x:f>
      </x:c>
      <x:c r="W37" s="521" t="str">
        <x:f>IF(MAX(E37:S37)=0,"",S37)</x:f>
      </x:c>
      <x:c r="X37" s="521" t="str">
        <x:f>IF(MAX(E37:S37)=0,"",SUM(T37:W37))</x:f>
      </x:c>
      <x:c r="Y37" s="524" t="str">
        <x:f>IF(MAX(E37:S37)=0,"",INDEX($E$5:$S$5,1,MATCH(MAX(E37:S37),E37:S37,0)))</x:f>
      </x:c>
    </x:row>
    <x:row r="38" ht="20" customHeight="1">
      <x:c r="A38" s="516"/>
      <x:c r="B38" s="522"/>
      <x:c r="C38" s="516"/>
      <x:c r="D38" s="520"/>
      <x:c r="E38" s="523"/>
      <x:c r="F38" s="523"/>
      <x:c r="G38" s="523"/>
      <x:c r="H38" s="523"/>
      <x:c r="I38" s="523"/>
      <x:c r="J38" s="523"/>
      <x:c r="K38" s="523"/>
      <x:c r="L38" s="523"/>
      <x:c r="M38" s="523"/>
      <x:c r="N38" s="523"/>
      <x:c r="O38" s="523"/>
      <x:c r="P38" s="523"/>
      <x:c r="Q38" s="523"/>
      <x:c r="R38" s="523"/>
      <x:c r="S38" s="523"/>
      <x:c r="T38" s="521" t="str">
        <x:f>IF(MAX(E38:S38)=0,"",SUM(E38,H38,K38,N38,Q38,R38))</x:f>
      </x:c>
      <x:c r="U38" s="521" t="str">
        <x:f>IF(MAX(E38:S38)=0,"",SUM(F38,I38,L38,O38))</x:f>
      </x:c>
      <x:c r="V38" s="521" t="str">
        <x:f>IF(MAX(E38:S38)=0,"",SUM(G38,J38,M38,P38))</x:f>
      </x:c>
      <x:c r="W38" s="521" t="str">
        <x:f>IF(MAX(E38:S38)=0,"",S38)</x:f>
      </x:c>
      <x:c r="X38" s="521" t="str">
        <x:f>IF(MAX(E38:S38)=0,"",SUM(T38:W38))</x:f>
      </x:c>
      <x:c r="Y38" s="524" t="str">
        <x:f>IF(MAX(E38:S38)=0,"",INDEX($E$5:$S$5,1,MATCH(MAX(E38:S38),E38:S38,0)))</x:f>
      </x:c>
    </x:row>
    <x:row r="39" ht="20" customHeight="1">
      <x:c r="A39" s="516"/>
      <x:c r="B39" s="522"/>
      <x:c r="C39" s="516"/>
      <x:c r="D39" s="520"/>
      <x:c r="E39" s="523"/>
      <x:c r="F39" s="523"/>
      <x:c r="G39" s="523"/>
      <x:c r="H39" s="523"/>
      <x:c r="I39" s="523"/>
      <x:c r="J39" s="523"/>
      <x:c r="K39" s="523"/>
      <x:c r="L39" s="523"/>
      <x:c r="M39" s="523"/>
      <x:c r="N39" s="523"/>
      <x:c r="O39" s="523"/>
      <x:c r="P39" s="523"/>
      <x:c r="Q39" s="523"/>
      <x:c r="R39" s="523"/>
      <x:c r="S39" s="523"/>
      <x:c r="T39" s="521" t="str">
        <x:f>IF(MAX(E39:S39)=0,"",SUM(E39,H39,K39,N39,Q39,R39))</x:f>
      </x:c>
      <x:c r="U39" s="521" t="str">
        <x:f>IF(MAX(E39:S39)=0,"",SUM(F39,I39,L39,O39))</x:f>
      </x:c>
      <x:c r="V39" s="521" t="str">
        <x:f>IF(MAX(E39:S39)=0,"",SUM(G39,J39,M39,P39))</x:f>
      </x:c>
      <x:c r="W39" s="521" t="str">
        <x:f>IF(MAX(E39:S39)=0,"",S39)</x:f>
      </x:c>
      <x:c r="X39" s="521" t="str">
        <x:f>IF(MAX(E39:S39)=0,"",SUM(T39:W39))</x:f>
      </x:c>
      <x:c r="Y39" s="524" t="str">
        <x:f>IF(MAX(E39:S39)=0,"",INDEX($E$5:$S$5,1,MATCH(MAX(E39:S39),E39:S39,0)))</x:f>
      </x:c>
    </x:row>
    <x:row r="40" ht="20" customHeight="1">
      <x:c r="A40" s="516"/>
      <x:c r="B40" s="522"/>
      <x:c r="C40" s="516"/>
      <x:c r="D40" s="520"/>
      <x:c r="E40" s="523"/>
      <x:c r="F40" s="523"/>
      <x:c r="G40" s="523"/>
      <x:c r="H40" s="523"/>
      <x:c r="I40" s="523"/>
      <x:c r="J40" s="523"/>
      <x:c r="K40" s="523"/>
      <x:c r="L40" s="523"/>
      <x:c r="M40" s="523"/>
      <x:c r="N40" s="523"/>
      <x:c r="O40" s="523"/>
      <x:c r="P40" s="523"/>
      <x:c r="Q40" s="523"/>
      <x:c r="R40" s="523"/>
      <x:c r="S40" s="523"/>
      <x:c r="T40" s="521" t="str">
        <x:f>IF(MAX(E40:S40)=0,"",SUM(E40,H40,K40,N40,Q40,R40))</x:f>
      </x:c>
      <x:c r="U40" s="521" t="str">
        <x:f>IF(MAX(E40:S40)=0,"",SUM(F40,I40,L40,O40))</x:f>
      </x:c>
      <x:c r="V40" s="521" t="str">
        <x:f>IF(MAX(E40:S40)=0,"",SUM(G40,J40,M40,P40))</x:f>
      </x:c>
      <x:c r="W40" s="521" t="str">
        <x:f>IF(MAX(E40:S40)=0,"",S40)</x:f>
      </x:c>
      <x:c r="X40" s="521" t="str">
        <x:f>IF(MAX(E40:S40)=0,"",SUM(T40:W40))</x:f>
      </x:c>
      <x:c r="Y40" s="524" t="str">
        <x:f>IF(MAX(E40:S40)=0,"",INDEX($E$5:$S$5,1,MATCH(MAX(E40:S40),E40:S40,0)))</x:f>
      </x:c>
    </x:row>
    <x:row r="41" ht="20" customHeight="1">
      <x:c r="A41" s="516"/>
      <x:c r="B41" s="522"/>
      <x:c r="C41" s="516"/>
      <x:c r="D41" s="520"/>
      <x:c r="E41" s="523"/>
      <x:c r="F41" s="523"/>
      <x:c r="G41" s="523"/>
      <x:c r="H41" s="523"/>
      <x:c r="I41" s="523"/>
      <x:c r="J41" s="523"/>
      <x:c r="K41" s="523"/>
      <x:c r="L41" s="523"/>
      <x:c r="M41" s="523"/>
      <x:c r="N41" s="523"/>
      <x:c r="O41" s="523"/>
      <x:c r="P41" s="523"/>
      <x:c r="Q41" s="523"/>
      <x:c r="R41" s="523"/>
      <x:c r="S41" s="523"/>
      <x:c r="T41" s="521" t="str">
        <x:f>IF(MAX(E41:S41)=0,"",SUM(E41,H41,K41,N41,Q41,R41))</x:f>
      </x:c>
      <x:c r="U41" s="521" t="str">
        <x:f>IF(MAX(E41:S41)=0,"",SUM(F41,I41,L41,O41))</x:f>
      </x:c>
      <x:c r="V41" s="521" t="str">
        <x:f>IF(MAX(E41:S41)=0,"",SUM(G41,J41,M41,P41))</x:f>
      </x:c>
      <x:c r="W41" s="521" t="str">
        <x:f>IF(MAX(E41:S41)=0,"",S41)</x:f>
      </x:c>
      <x:c r="X41" s="521" t="str">
        <x:f>IF(MAX(E41:S41)=0,"",SUM(T41:W41))</x:f>
      </x:c>
      <x:c r="Y41" s="524" t="str">
        <x:f>IF(MAX(E41:S41)=0,"",INDEX($E$5:$S$5,1,MATCH(MAX(E41:S41),E41:S41,0)))</x:f>
      </x:c>
    </x:row>
    <x:row r="42" ht="20" customHeight="1">
      <x:c r="A42" s="516"/>
      <x:c r="B42" s="522"/>
      <x:c r="C42" s="516"/>
      <x:c r="D42" s="520"/>
      <x:c r="E42" s="523"/>
      <x:c r="F42" s="523"/>
      <x:c r="G42" s="523"/>
      <x:c r="H42" s="523"/>
      <x:c r="I42" s="523"/>
      <x:c r="J42" s="523"/>
      <x:c r="K42" s="523"/>
      <x:c r="L42" s="523"/>
      <x:c r="M42" s="523"/>
      <x:c r="N42" s="523"/>
      <x:c r="O42" s="523"/>
      <x:c r="P42" s="523"/>
      <x:c r="Q42" s="523"/>
      <x:c r="R42" s="523"/>
      <x:c r="S42" s="523"/>
      <x:c r="T42" s="521" t="str">
        <x:f>IF(MAX(E42:S42)=0,"",SUM(E42,H42,K42,N42,Q42,R42))</x:f>
      </x:c>
      <x:c r="U42" s="521" t="str">
        <x:f>IF(MAX(E42:S42)=0,"",SUM(F42,I42,L42,O42))</x:f>
      </x:c>
      <x:c r="V42" s="521" t="str">
        <x:f>IF(MAX(E42:S42)=0,"",SUM(G42,J42,M42,P42))</x:f>
      </x:c>
      <x:c r="W42" s="521" t="str">
        <x:f>IF(MAX(E42:S42)=0,"",S42)</x:f>
      </x:c>
      <x:c r="X42" s="521" t="str">
        <x:f>IF(MAX(E42:S42)=0,"",SUM(T42:W42))</x:f>
      </x:c>
      <x:c r="Y42" s="524" t="str">
        <x:f>IF(MAX(E42:S42)=0,"",INDEX($E$5:$S$5,1,MATCH(MAX(E42:S42),E42:S42,0)))</x:f>
      </x:c>
    </x:row>
    <x:row r="43" ht="20" customHeight="1">
      <x:c r="A43" s="516"/>
      <x:c r="B43" s="522"/>
      <x:c r="C43" s="516"/>
      <x:c r="D43" s="520"/>
      <x:c r="E43" s="523"/>
      <x:c r="F43" s="523"/>
      <x:c r="G43" s="523"/>
      <x:c r="H43" s="523"/>
      <x:c r="I43" s="523"/>
      <x:c r="J43" s="523"/>
      <x:c r="K43" s="523"/>
      <x:c r="L43" s="523"/>
      <x:c r="M43" s="523"/>
      <x:c r="N43" s="523"/>
      <x:c r="O43" s="523"/>
      <x:c r="P43" s="523"/>
      <x:c r="Q43" s="523"/>
      <x:c r="R43" s="523"/>
      <x:c r="S43" s="523"/>
      <x:c r="T43" s="521" t="str">
        <x:f>IF(MAX(E43:S43)=0,"",SUM(E43,H43,K43,N43,Q43,R43))</x:f>
      </x:c>
      <x:c r="U43" s="521" t="str">
        <x:f>IF(MAX(E43:S43)=0,"",SUM(F43,I43,L43,O43))</x:f>
      </x:c>
      <x:c r="V43" s="521" t="str">
        <x:f>IF(MAX(E43:S43)=0,"",SUM(G43,J43,M43,P43))</x:f>
      </x:c>
      <x:c r="W43" s="521" t="str">
        <x:f>IF(MAX(E43:S43)=0,"",S43)</x:f>
      </x:c>
      <x:c r="X43" s="521" t="str">
        <x:f>IF(MAX(E43:S43)=0,"",SUM(T43:W43))</x:f>
      </x:c>
      <x:c r="Y43" s="524" t="str">
        <x:f>IF(MAX(E43:S43)=0,"",INDEX($E$5:$S$5,1,MATCH(MAX(E43:S43),E43:S43,0)))</x:f>
      </x:c>
    </x:row>
    <x:row r="44" ht="20" customHeight="1">
      <x:c r="A44" s="516"/>
      <x:c r="B44" s="522"/>
      <x:c r="C44" s="516"/>
      <x:c r="D44" s="520"/>
      <x:c r="E44" s="523"/>
      <x:c r="F44" s="523"/>
      <x:c r="G44" s="523"/>
      <x:c r="H44" s="523"/>
      <x:c r="I44" s="523"/>
      <x:c r="J44" s="523"/>
      <x:c r="K44" s="523"/>
      <x:c r="L44" s="523"/>
      <x:c r="M44" s="523"/>
      <x:c r="N44" s="523"/>
      <x:c r="O44" s="523"/>
      <x:c r="P44" s="523"/>
      <x:c r="Q44" s="523"/>
      <x:c r="R44" s="523"/>
      <x:c r="S44" s="523"/>
      <x:c r="T44" s="521" t="str">
        <x:f>IF(MAX(E44:S44)=0,"",SUM(E44,H44,K44,N44,Q44,R44))</x:f>
      </x:c>
      <x:c r="U44" s="521" t="str">
        <x:f>IF(MAX(E44:S44)=0,"",SUM(F44,I44,L44,O44))</x:f>
      </x:c>
      <x:c r="V44" s="521" t="str">
        <x:f>IF(MAX(E44:S44)=0,"",SUM(G44,J44,M44,P44))</x:f>
      </x:c>
      <x:c r="W44" s="521" t="str">
        <x:f>IF(MAX(E44:S44)=0,"",S44)</x:f>
      </x:c>
      <x:c r="X44" s="521" t="str">
        <x:f>IF(MAX(E44:S44)=0,"",SUM(T44:W44))</x:f>
      </x:c>
      <x:c r="Y44" s="524" t="str">
        <x:f>IF(MAX(E44:S44)=0,"",INDEX($E$5:$S$5,1,MATCH(MAX(E44:S44),E44:S44,0)))</x:f>
      </x:c>
    </x:row>
    <x:row r="45" ht="20" customHeight="1">
      <x:c r="A45" s="516"/>
      <x:c r="B45" s="522"/>
      <x:c r="C45" s="516"/>
      <x:c r="D45" s="520"/>
      <x:c r="E45" s="523"/>
      <x:c r="F45" s="523"/>
      <x:c r="G45" s="523"/>
      <x:c r="H45" s="523"/>
      <x:c r="I45" s="523"/>
      <x:c r="J45" s="523"/>
      <x:c r="K45" s="523"/>
      <x:c r="L45" s="523"/>
      <x:c r="M45" s="523"/>
      <x:c r="N45" s="523"/>
      <x:c r="O45" s="523"/>
      <x:c r="P45" s="523"/>
      <x:c r="Q45" s="523"/>
      <x:c r="R45" s="523"/>
      <x:c r="S45" s="523"/>
      <x:c r="T45" s="521" t="str">
        <x:f>IF(MAX(E45:S45)=0,"",SUM(E45,H45,K45,N45,Q45,R45))</x:f>
      </x:c>
      <x:c r="U45" s="521" t="str">
        <x:f>IF(MAX(E45:S45)=0,"",SUM(F45,I45,L45,O45))</x:f>
      </x:c>
      <x:c r="V45" s="521" t="str">
        <x:f>IF(MAX(E45:S45)=0,"",SUM(G45,J45,M45,P45))</x:f>
      </x:c>
      <x:c r="W45" s="521" t="str">
        <x:f>IF(MAX(E45:S45)=0,"",S45)</x:f>
      </x:c>
      <x:c r="X45" s="521" t="str">
        <x:f>IF(MAX(E45:S45)=0,"",SUM(T45:W45))</x:f>
      </x:c>
      <x:c r="Y45" s="524" t="str">
        <x:f>IF(MAX(E45:S45)=0,"",INDEX($E$5:$S$5,1,MATCH(MAX(E45:S45),E45:S45,0)))</x:f>
      </x:c>
    </x:row>
    <x:row r="46" ht="20" customHeight="1">
      <x:c r="A46" s="516"/>
      <x:c r="B46" s="522"/>
      <x:c r="C46" s="516"/>
      <x:c r="D46" s="520"/>
      <x:c r="E46" s="523"/>
      <x:c r="F46" s="523"/>
      <x:c r="G46" s="523"/>
      <x:c r="H46" s="523"/>
      <x:c r="I46" s="523"/>
      <x:c r="J46" s="523"/>
      <x:c r="K46" s="523"/>
      <x:c r="L46" s="523"/>
      <x:c r="M46" s="523"/>
      <x:c r="N46" s="523"/>
      <x:c r="O46" s="523"/>
      <x:c r="P46" s="523"/>
      <x:c r="Q46" s="523"/>
      <x:c r="R46" s="523"/>
      <x:c r="S46" s="523"/>
      <x:c r="T46" s="521" t="str">
        <x:f>IF(MAX(E46:S46)=0,"",SUM(E46,H46,K46,N46,Q46,R46))</x:f>
      </x:c>
      <x:c r="U46" s="521" t="str">
        <x:f>IF(MAX(E46:S46)=0,"",SUM(F46,I46,L46,O46))</x:f>
      </x:c>
      <x:c r="V46" s="521" t="str">
        <x:f>IF(MAX(E46:S46)=0,"",SUM(G46,J46,M46,P46))</x:f>
      </x:c>
      <x:c r="W46" s="521" t="str">
        <x:f>IF(MAX(E46:S46)=0,"",S46)</x:f>
      </x:c>
      <x:c r="X46" s="521" t="str">
        <x:f>IF(MAX(E46:S46)=0,"",SUM(T46:W46))</x:f>
      </x:c>
      <x:c r="Y46" s="524" t="str">
        <x:f>IF(MAX(E46:S46)=0,"",INDEX($E$5:$S$5,1,MATCH(MAX(E46:S46),E46:S46,0)))</x:f>
      </x:c>
    </x:row>
    <x:row r="47" ht="20" customHeight="1">
      <x:c r="A47" s="516"/>
      <x:c r="B47" s="522"/>
      <x:c r="C47" s="516"/>
      <x:c r="D47" s="520"/>
      <x:c r="E47" s="523"/>
      <x:c r="F47" s="523"/>
      <x:c r="G47" s="523"/>
      <x:c r="H47" s="523"/>
      <x:c r="I47" s="523"/>
      <x:c r="J47" s="523"/>
      <x:c r="K47" s="523"/>
      <x:c r="L47" s="523"/>
      <x:c r="M47" s="523"/>
      <x:c r="N47" s="523"/>
      <x:c r="O47" s="523"/>
      <x:c r="P47" s="523"/>
      <x:c r="Q47" s="523"/>
      <x:c r="R47" s="523"/>
      <x:c r="S47" s="523"/>
      <x:c r="T47" s="521" t="str">
        <x:f>IF(MAX(E47:S47)=0,"",SUM(E47,H47,K47,N47,Q47,R47))</x:f>
      </x:c>
      <x:c r="U47" s="521" t="str">
        <x:f>IF(MAX(E47:S47)=0,"",SUM(F47,I47,L47,O47))</x:f>
      </x:c>
      <x:c r="V47" s="521" t="str">
        <x:f>IF(MAX(E47:S47)=0,"",SUM(G47,J47,M47,P47))</x:f>
      </x:c>
      <x:c r="W47" s="521" t="str">
        <x:f>IF(MAX(E47:S47)=0,"",S47)</x:f>
      </x:c>
      <x:c r="X47" s="521" t="str">
        <x:f>IF(MAX(E47:S47)=0,"",SUM(T47:W47))</x:f>
      </x:c>
      <x:c r="Y47" s="524" t="str">
        <x:f>IF(MAX(E47:S47)=0,"",INDEX($E$5:$S$5,1,MATCH(MAX(E47:S47),E47:S47,0)))</x:f>
      </x:c>
    </x:row>
    <x:row r="48" ht="20" customHeight="1">
      <x:c r="A48" s="516"/>
      <x:c r="B48" s="522"/>
      <x:c r="C48" s="516"/>
      <x:c r="D48" s="520"/>
      <x:c r="E48" s="523"/>
      <x:c r="F48" s="523"/>
      <x:c r="G48" s="523"/>
      <x:c r="H48" s="523"/>
      <x:c r="I48" s="523"/>
      <x:c r="J48" s="523"/>
      <x:c r="K48" s="523"/>
      <x:c r="L48" s="523"/>
      <x:c r="M48" s="523"/>
      <x:c r="N48" s="523"/>
      <x:c r="O48" s="523"/>
      <x:c r="P48" s="523"/>
      <x:c r="Q48" s="523"/>
      <x:c r="R48" s="523"/>
      <x:c r="S48" s="523"/>
      <x:c r="T48" s="521" t="str">
        <x:f>IF(MAX(E48:S48)=0,"",SUM(E48,H48,K48,N48,Q48,R48))</x:f>
      </x:c>
      <x:c r="U48" s="521" t="str">
        <x:f>IF(MAX(E48:S48)=0,"",SUM(F48,I48,L48,O48))</x:f>
      </x:c>
      <x:c r="V48" s="521" t="str">
        <x:f>IF(MAX(E48:S48)=0,"",SUM(G48,J48,M48,P48))</x:f>
      </x:c>
      <x:c r="W48" s="521" t="str">
        <x:f>IF(MAX(E48:S48)=0,"",S48)</x:f>
      </x:c>
      <x:c r="X48" s="521" t="str">
        <x:f>IF(MAX(E48:S48)=0,"",SUM(T48:W48))</x:f>
      </x:c>
      <x:c r="Y48" s="524" t="str">
        <x:f>IF(MAX(E48:S48)=0,"",INDEX($E$5:$S$5,1,MATCH(MAX(E48:S48),E48:S48,0)))</x:f>
      </x:c>
    </x:row>
    <x:row r="49" ht="20" customHeight="1">
      <x:c r="A49" s="516"/>
      <x:c r="B49" s="522"/>
      <x:c r="C49" s="516"/>
      <x:c r="D49" s="520"/>
      <x:c r="E49" s="523"/>
      <x:c r="F49" s="523"/>
      <x:c r="G49" s="523"/>
      <x:c r="H49" s="523"/>
      <x:c r="I49" s="523"/>
      <x:c r="J49" s="523"/>
      <x:c r="K49" s="523"/>
      <x:c r="L49" s="523"/>
      <x:c r="M49" s="523"/>
      <x:c r="N49" s="523"/>
      <x:c r="O49" s="523"/>
      <x:c r="P49" s="523"/>
      <x:c r="Q49" s="523"/>
      <x:c r="R49" s="523"/>
      <x:c r="S49" s="523"/>
      <x:c r="T49" s="521" t="str">
        <x:f>IF(MAX(E49:S49)=0,"",SUM(E49,H49,K49,N49,Q49,R49))</x:f>
      </x:c>
      <x:c r="U49" s="521" t="str">
        <x:f>IF(MAX(E49:S49)=0,"",SUM(F49,I49,L49,O49))</x:f>
      </x:c>
      <x:c r="V49" s="521" t="str">
        <x:f>IF(MAX(E49:S49)=0,"",SUM(G49,J49,M49,P49))</x:f>
      </x:c>
      <x:c r="W49" s="521" t="str">
        <x:f>IF(MAX(E49:S49)=0,"",S49)</x:f>
      </x:c>
      <x:c r="X49" s="521" t="str">
        <x:f>IF(MAX(E49:S49)=0,"",SUM(T49:W49))</x:f>
      </x:c>
      <x:c r="Y49" s="524" t="str">
        <x:f>IF(MAX(E49:S49)=0,"",INDEX($E$5:$S$5,1,MATCH(MAX(E49:S49),E49:S49,0)))</x:f>
      </x:c>
    </x:row>
    <x:row r="50" ht="20" customHeight="1">
      <x:c r="A50" s="516"/>
      <x:c r="B50" s="522"/>
      <x:c r="C50" s="516"/>
      <x:c r="D50" s="520"/>
      <x:c r="E50" s="523"/>
      <x:c r="F50" s="523"/>
      <x:c r="G50" s="523"/>
      <x:c r="H50" s="523"/>
      <x:c r="I50" s="523"/>
      <x:c r="J50" s="523"/>
      <x:c r="K50" s="523"/>
      <x:c r="L50" s="523"/>
      <x:c r="M50" s="523"/>
      <x:c r="N50" s="523"/>
      <x:c r="O50" s="523"/>
      <x:c r="P50" s="523"/>
      <x:c r="Q50" s="523"/>
      <x:c r="R50" s="523"/>
      <x:c r="S50" s="523"/>
      <x:c r="T50" s="521" t="str">
        <x:f>IF(MAX(E50:S50)=0,"",SUM(E50,H50,K50,N50,Q50,R50))</x:f>
      </x:c>
      <x:c r="U50" s="521" t="str">
        <x:f>IF(MAX(E50:S50)=0,"",SUM(F50,I50,L50,O50))</x:f>
      </x:c>
      <x:c r="V50" s="521" t="str">
        <x:f>IF(MAX(E50:S50)=0,"",SUM(G50,J50,M50,P50))</x:f>
      </x:c>
      <x:c r="W50" s="521" t="str">
        <x:f>IF(MAX(E50:S50)=0,"",S50)</x:f>
      </x:c>
      <x:c r="X50" s="521" t="str">
        <x:f>IF(MAX(E50:S50)=0,"",SUM(T50:W50))</x:f>
      </x:c>
      <x:c r="Y50" s="524" t="str">
        <x:f>IF(MAX(E50:S50)=0,"",INDEX($E$5:$S$5,1,MATCH(MAX(E50:S50),E50:S50,0)))</x:f>
      </x:c>
    </x:row>
    <x:row r="51" ht="20" customHeight="1">
      <x:c r="A51" s="516"/>
      <x:c r="B51" s="522"/>
      <x:c r="C51" s="516"/>
      <x:c r="D51" s="520"/>
      <x:c r="E51" s="523"/>
      <x:c r="F51" s="523"/>
      <x:c r="G51" s="523"/>
      <x:c r="H51" s="523"/>
      <x:c r="I51" s="523"/>
      <x:c r="J51" s="523"/>
      <x:c r="K51" s="523"/>
      <x:c r="L51" s="523"/>
      <x:c r="M51" s="523"/>
      <x:c r="N51" s="523"/>
      <x:c r="O51" s="523"/>
      <x:c r="P51" s="523"/>
      <x:c r="Q51" s="523"/>
      <x:c r="R51" s="523"/>
      <x:c r="S51" s="523"/>
      <x:c r="T51" s="521" t="str">
        <x:f>IF(MAX(E51:S51)=0,"",SUM(E51,H51,K51,N51,Q51,R51))</x:f>
      </x:c>
      <x:c r="U51" s="521" t="str">
        <x:f>IF(MAX(E51:S51)=0,"",SUM(F51,I51,L51,O51))</x:f>
      </x:c>
      <x:c r="V51" s="521" t="str">
        <x:f>IF(MAX(E51:S51)=0,"",SUM(G51,J51,M51,P51))</x:f>
      </x:c>
      <x:c r="W51" s="521" t="str">
        <x:f>IF(MAX(E51:S51)=0,"",S51)</x:f>
      </x:c>
      <x:c r="X51" s="521" t="str">
        <x:f>IF(MAX(E51:S51)=0,"",SUM(T51:W51))</x:f>
      </x:c>
      <x:c r="Y51" s="524" t="str">
        <x:f>IF(MAX(E51:S51)=0,"",INDEX($E$5:$S$5,1,MATCH(MAX(E51:S51),E51:S51,0)))</x:f>
      </x:c>
    </x:row>
    <x:row r="52" ht="20" customHeight="1">
      <x:c r="A52" s="516"/>
      <x:c r="B52" s="522"/>
      <x:c r="C52" s="516"/>
      <x:c r="D52" s="520"/>
      <x:c r="E52" s="523"/>
      <x:c r="F52" s="523"/>
      <x:c r="G52" s="523"/>
      <x:c r="H52" s="523"/>
      <x:c r="I52" s="523"/>
      <x:c r="J52" s="523"/>
      <x:c r="K52" s="523"/>
      <x:c r="L52" s="523"/>
      <x:c r="M52" s="523"/>
      <x:c r="N52" s="523"/>
      <x:c r="O52" s="523"/>
      <x:c r="P52" s="523"/>
      <x:c r="Q52" s="523"/>
      <x:c r="R52" s="523"/>
      <x:c r="S52" s="523"/>
      <x:c r="T52" s="521" t="str">
        <x:f>IF(MAX(E52:S52)=0,"",SUM(E52,H52,K52,N52,Q52,R52))</x:f>
      </x:c>
      <x:c r="U52" s="521" t="str">
        <x:f>IF(MAX(E52:S52)=0,"",SUM(F52,I52,L52,O52))</x:f>
      </x:c>
      <x:c r="V52" s="521" t="str">
        <x:f>IF(MAX(E52:S52)=0,"",SUM(G52,J52,M52,P52))</x:f>
      </x:c>
      <x:c r="W52" s="521" t="str">
        <x:f>IF(MAX(E52:S52)=0,"",S52)</x:f>
      </x:c>
      <x:c r="X52" s="521" t="str">
        <x:f>IF(MAX(E52:S52)=0,"",SUM(T52:W52))</x:f>
      </x:c>
      <x:c r="Y52" s="524" t="str">
        <x:f>IF(MAX(E52:S52)=0,"",INDEX($E$5:$S$5,1,MATCH(MAX(E52:S52),E52:S52,0)))</x:f>
      </x:c>
    </x:row>
    <x:row r="53" ht="20" customHeight="1">
      <x:c r="A53" s="516"/>
      <x:c r="B53" s="522"/>
      <x:c r="C53" s="516"/>
      <x:c r="D53" s="520"/>
      <x:c r="E53" s="523"/>
      <x:c r="F53" s="523"/>
      <x:c r="G53" s="523"/>
      <x:c r="H53" s="523"/>
      <x:c r="I53" s="523"/>
      <x:c r="J53" s="523"/>
      <x:c r="K53" s="523"/>
      <x:c r="L53" s="523"/>
      <x:c r="M53" s="523"/>
      <x:c r="N53" s="523"/>
      <x:c r="O53" s="523"/>
      <x:c r="P53" s="523"/>
      <x:c r="Q53" s="523"/>
      <x:c r="R53" s="523"/>
      <x:c r="S53" s="523"/>
      <x:c r="T53" s="521" t="str">
        <x:f>IF(MAX(E53:S53)=0,"",SUM(E53,H53,K53,N53,Q53,R53))</x:f>
      </x:c>
      <x:c r="U53" s="521" t="str">
        <x:f>IF(MAX(E53:S53)=0,"",SUM(F53,I53,L53,O53))</x:f>
      </x:c>
      <x:c r="V53" s="521" t="str">
        <x:f>IF(MAX(E53:S53)=0,"",SUM(G53,J53,M53,P53))</x:f>
      </x:c>
      <x:c r="W53" s="521" t="str">
        <x:f>IF(MAX(E53:S53)=0,"",S53)</x:f>
      </x:c>
      <x:c r="X53" s="521" t="str">
        <x:f>IF(MAX(E53:S53)=0,"",SUM(T53:W53))</x:f>
      </x:c>
      <x:c r="Y53" s="524" t="str">
        <x:f>IF(MAX(E53:S53)=0,"",INDEX($E$5:$S$5,1,MATCH(MAX(E53:S53),E53:S53,0)))</x:f>
      </x:c>
    </x:row>
    <x:row r="54" ht="20" customHeight="1">
      <x:c r="A54" s="516"/>
      <x:c r="B54" s="522"/>
      <x:c r="C54" s="516"/>
      <x:c r="D54" s="520"/>
      <x:c r="E54" s="523"/>
      <x:c r="F54" s="523"/>
      <x:c r="G54" s="523"/>
      <x:c r="H54" s="523"/>
      <x:c r="I54" s="523"/>
      <x:c r="J54" s="523"/>
      <x:c r="K54" s="523"/>
      <x:c r="L54" s="523"/>
      <x:c r="M54" s="523"/>
      <x:c r="N54" s="523"/>
      <x:c r="O54" s="523"/>
      <x:c r="P54" s="523"/>
      <x:c r="Q54" s="523"/>
      <x:c r="R54" s="523"/>
      <x:c r="S54" s="523"/>
      <x:c r="T54" s="521" t="str">
        <x:f>IF(MAX(E54:S54)=0,"",SUM(E54,H54,K54,N54,Q54,R54))</x:f>
      </x:c>
      <x:c r="U54" s="521" t="str">
        <x:f>IF(MAX(E54:S54)=0,"",SUM(F54,I54,L54,O54))</x:f>
      </x:c>
      <x:c r="V54" s="521" t="str">
        <x:f>IF(MAX(E54:S54)=0,"",SUM(G54,J54,M54,P54))</x:f>
      </x:c>
      <x:c r="W54" s="521" t="str">
        <x:f>IF(MAX(E54:S54)=0,"",S54)</x:f>
      </x:c>
      <x:c r="X54" s="521" t="str">
        <x:f>IF(MAX(E54:S54)=0,"",SUM(T54:W54))</x:f>
      </x:c>
      <x:c r="Y54" s="524" t="str">
        <x:f>IF(MAX(E54:S54)=0,"",INDEX($E$5:$S$5,1,MATCH(MAX(E54:S54),E54:S54,0)))</x:f>
      </x:c>
    </x:row>
    <x:row r="55" ht="20" customHeight="1">
      <x:c r="A55" s="516"/>
      <x:c r="B55" s="522"/>
      <x:c r="C55" s="516"/>
      <x:c r="D55" s="520"/>
      <x:c r="E55" s="523"/>
      <x:c r="F55" s="523"/>
      <x:c r="G55" s="523"/>
      <x:c r="H55" s="523"/>
      <x:c r="I55" s="523"/>
      <x:c r="J55" s="523"/>
      <x:c r="K55" s="523"/>
      <x:c r="L55" s="523"/>
      <x:c r="M55" s="523"/>
      <x:c r="N55" s="523"/>
      <x:c r="O55" s="523"/>
      <x:c r="P55" s="523"/>
      <x:c r="Q55" s="523"/>
      <x:c r="R55" s="523"/>
      <x:c r="S55" s="523"/>
      <x:c r="T55" s="521" t="str">
        <x:f>IF(MAX(E55:S55)=0,"",SUM(E55,H55,K55,N55,Q55,R55))</x:f>
      </x:c>
      <x:c r="U55" s="521" t="str">
        <x:f>IF(MAX(E55:S55)=0,"",SUM(F55,I55,L55,O55))</x:f>
      </x:c>
      <x:c r="V55" s="521" t="str">
        <x:f>IF(MAX(E55:S55)=0,"",SUM(G55,J55,M55,P55))</x:f>
      </x:c>
      <x:c r="W55" s="521" t="str">
        <x:f>IF(MAX(E55:S55)=0,"",S55)</x:f>
      </x:c>
      <x:c r="X55" s="521" t="str">
        <x:f>IF(MAX(E55:S55)=0,"",SUM(T55:W55))</x:f>
      </x:c>
      <x:c r="Y55" s="524" t="str">
        <x:f>IF(MAX(E55:S55)=0,"",INDEX($E$5:$S$5,1,MATCH(MAX(E55:S55),E55:S55,0)))</x:f>
      </x:c>
    </x:row>
    <x:row r="56" ht="20" customHeight="1">
      <x:c r="A56" s="516"/>
      <x:c r="B56" s="522"/>
      <x:c r="C56" s="516"/>
      <x:c r="D56" s="520"/>
      <x:c r="E56" s="523"/>
      <x:c r="F56" s="523"/>
      <x:c r="G56" s="523"/>
      <x:c r="H56" s="523"/>
      <x:c r="I56" s="523"/>
      <x:c r="J56" s="523"/>
      <x:c r="K56" s="523"/>
      <x:c r="L56" s="523"/>
      <x:c r="M56" s="523"/>
      <x:c r="N56" s="523"/>
      <x:c r="O56" s="523"/>
      <x:c r="P56" s="523"/>
      <x:c r="Q56" s="523"/>
      <x:c r="R56" s="523"/>
      <x:c r="S56" s="523"/>
      <x:c r="T56" s="521" t="str">
        <x:f>IF(MAX(E56:S56)=0,"",SUM(E56,H56,K56,N56,Q56,R56))</x:f>
      </x:c>
      <x:c r="U56" s="521" t="str">
        <x:f>IF(MAX(E56:S56)=0,"",SUM(F56,I56,L56,O56))</x:f>
      </x:c>
      <x:c r="V56" s="521" t="str">
        <x:f>IF(MAX(E56:S56)=0,"",SUM(G56,J56,M56,P56))</x:f>
      </x:c>
      <x:c r="W56" s="521" t="str">
        <x:f>IF(MAX(E56:S56)=0,"",S56)</x:f>
      </x:c>
      <x:c r="X56" s="521" t="str">
        <x:f>IF(MAX(E56:S56)=0,"",SUM(T56:W56))</x:f>
      </x:c>
      <x:c r="Y56" s="524" t="str">
        <x:f>IF(MAX(E56:S56)=0,"",INDEX($E$5:$S$5,1,MATCH(MAX(E56:S56),E56:S56,0)))</x:f>
      </x:c>
    </x:row>
    <x:row r="57" ht="20" customHeight="1">
      <x:c r="A57" s="516"/>
      <x:c r="B57" s="522"/>
      <x:c r="C57" s="516"/>
      <x:c r="D57" s="520"/>
      <x:c r="E57" s="523"/>
      <x:c r="F57" s="523"/>
      <x:c r="G57" s="523"/>
      <x:c r="H57" s="523"/>
      <x:c r="I57" s="523"/>
      <x:c r="J57" s="523"/>
      <x:c r="K57" s="523"/>
      <x:c r="L57" s="523"/>
      <x:c r="M57" s="523"/>
      <x:c r="N57" s="523"/>
      <x:c r="O57" s="523"/>
      <x:c r="P57" s="523"/>
      <x:c r="Q57" s="523"/>
      <x:c r="R57" s="523"/>
      <x:c r="S57" s="523"/>
      <x:c r="T57" s="521" t="str">
        <x:f>IF(MAX(E57:S57)=0,"",SUM(E57,H57,K57,N57,Q57,R57))</x:f>
      </x:c>
      <x:c r="U57" s="521" t="str">
        <x:f>IF(MAX(E57:S57)=0,"",SUM(F57,I57,L57,O57))</x:f>
      </x:c>
      <x:c r="V57" s="521" t="str">
        <x:f>IF(MAX(E57:S57)=0,"",SUM(G57,J57,M57,P57))</x:f>
      </x:c>
      <x:c r="W57" s="521" t="str">
        <x:f>IF(MAX(E57:S57)=0,"",S57)</x:f>
      </x:c>
      <x:c r="X57" s="521" t="str">
        <x:f>IF(MAX(E57:S57)=0,"",SUM(T57:W57))</x:f>
      </x:c>
      <x:c r="Y57" s="524" t="str">
        <x:f>IF(MAX(E57:S57)=0,"",INDEX($E$5:$S$5,1,MATCH(MAX(E57:S57),E57:S57,0)))</x:f>
      </x:c>
    </x:row>
    <x:row r="58" ht="20" customHeight="1">
      <x:c r="A58" s="516"/>
      <x:c r="B58" s="522"/>
      <x:c r="C58" s="516"/>
      <x:c r="D58" s="520"/>
      <x:c r="E58" s="523"/>
      <x:c r="F58" s="523"/>
      <x:c r="G58" s="523"/>
      <x:c r="H58" s="523"/>
      <x:c r="I58" s="523"/>
      <x:c r="J58" s="523"/>
      <x:c r="K58" s="523"/>
      <x:c r="L58" s="523"/>
      <x:c r="M58" s="523"/>
      <x:c r="N58" s="523"/>
      <x:c r="O58" s="523"/>
      <x:c r="P58" s="523"/>
      <x:c r="Q58" s="523"/>
      <x:c r="R58" s="523"/>
      <x:c r="S58" s="523"/>
      <x:c r="T58" s="521" t="str">
        <x:f>IF(MAX(E58:S58)=0,"",SUM(E58,H58,K58,N58,Q58,R58))</x:f>
      </x:c>
      <x:c r="U58" s="521" t="str">
        <x:f>IF(MAX(E58:S58)=0,"",SUM(F58,I58,L58,O58))</x:f>
      </x:c>
      <x:c r="V58" s="521" t="str">
        <x:f>IF(MAX(E58:S58)=0,"",SUM(G58,J58,M58,P58))</x:f>
      </x:c>
      <x:c r="W58" s="521" t="str">
        <x:f>IF(MAX(E58:S58)=0,"",S58)</x:f>
      </x:c>
      <x:c r="X58" s="521" t="str">
        <x:f>IF(MAX(E58:S58)=0,"",SUM(T58:W58))</x:f>
      </x:c>
      <x:c r="Y58" s="524" t="str">
        <x:f>IF(MAX(E58:S58)=0,"",INDEX($E$5:$S$5,1,MATCH(MAX(E58:S58),E58:S58,0)))</x:f>
      </x:c>
    </x:row>
    <x:row r="59" ht="20" customHeight="1">
      <x:c r="A59" s="516"/>
      <x:c r="B59" s="522"/>
      <x:c r="C59" s="516"/>
      <x:c r="D59" s="520"/>
      <x:c r="E59" s="523"/>
      <x:c r="F59" s="523"/>
      <x:c r="G59" s="523"/>
      <x:c r="H59" s="523"/>
      <x:c r="I59" s="523"/>
      <x:c r="J59" s="523"/>
      <x:c r="K59" s="523"/>
      <x:c r="L59" s="523"/>
      <x:c r="M59" s="523"/>
      <x:c r="N59" s="523"/>
      <x:c r="O59" s="523"/>
      <x:c r="P59" s="523"/>
      <x:c r="Q59" s="523"/>
      <x:c r="R59" s="523"/>
      <x:c r="S59" s="523"/>
      <x:c r="T59" s="521" t="str">
        <x:f>IF(MAX(E59:S59)=0,"",SUM(E59,H59,K59,N59,Q59,R59))</x:f>
      </x:c>
      <x:c r="U59" s="521" t="str">
        <x:f>IF(MAX(E59:S59)=0,"",SUM(F59,I59,L59,O59))</x:f>
      </x:c>
      <x:c r="V59" s="521" t="str">
        <x:f>IF(MAX(E59:S59)=0,"",SUM(G59,J59,M59,P59))</x:f>
      </x:c>
      <x:c r="W59" s="521" t="str">
        <x:f>IF(MAX(E59:S59)=0,"",S59)</x:f>
      </x:c>
      <x:c r="X59" s="521" t="str">
        <x:f>IF(MAX(E59:S59)=0,"",SUM(T59:W59))</x:f>
      </x:c>
      <x:c r="Y59" s="524" t="str">
        <x:f>IF(MAX(E59:S59)=0,"",INDEX($E$5:$S$5,1,MATCH(MAX(E59:S59),E59:S59,0)))</x:f>
      </x:c>
    </x:row>
    <x:row r="60" ht="20" customHeight="1">
      <x:c r="A60" s="516"/>
      <x:c r="B60" s="522"/>
      <x:c r="C60" s="516"/>
      <x:c r="D60" s="520"/>
      <x:c r="E60" s="523"/>
      <x:c r="F60" s="523"/>
      <x:c r="G60" s="523"/>
      <x:c r="H60" s="523"/>
      <x:c r="I60" s="523"/>
      <x:c r="J60" s="523"/>
      <x:c r="K60" s="523"/>
      <x:c r="L60" s="523"/>
      <x:c r="M60" s="523"/>
      <x:c r="N60" s="523"/>
      <x:c r="O60" s="523"/>
      <x:c r="P60" s="523"/>
      <x:c r="Q60" s="523"/>
      <x:c r="R60" s="523"/>
      <x:c r="S60" s="523"/>
      <x:c r="T60" s="521" t="str">
        <x:f>IF(MAX(E60:S60)=0,"",SUM(E60,H60,K60,N60,Q60,R60))</x:f>
      </x:c>
      <x:c r="U60" s="521" t="str">
        <x:f>IF(MAX(E60:S60)=0,"",SUM(F60,I60,L60,O60))</x:f>
      </x:c>
      <x:c r="V60" s="521" t="str">
        <x:f>IF(MAX(E60:S60)=0,"",SUM(G60,J60,M60,P60))</x:f>
      </x:c>
      <x:c r="W60" s="521" t="str">
        <x:f>IF(MAX(E60:S60)=0,"",S60)</x:f>
      </x:c>
      <x:c r="X60" s="521" t="str">
        <x:f>IF(MAX(E60:S60)=0,"",SUM(T60:W60))</x:f>
      </x:c>
      <x:c r="Y60" s="524" t="str">
        <x:f>IF(MAX(E60:S60)=0,"",INDEX($E$5:$S$5,1,MATCH(MAX(E60:S60),E60:S60,0)))</x:f>
      </x:c>
    </x:row>
    <x:row r="61" ht="20" customHeight="1">
      <x:c r="A61" s="516"/>
      <x:c r="B61" s="522"/>
      <x:c r="C61" s="516"/>
      <x:c r="D61" s="520"/>
      <x:c r="E61" s="523"/>
      <x:c r="F61" s="523"/>
      <x:c r="G61" s="523"/>
      <x:c r="H61" s="523"/>
      <x:c r="I61" s="523"/>
      <x:c r="J61" s="523"/>
      <x:c r="K61" s="523"/>
      <x:c r="L61" s="523"/>
      <x:c r="M61" s="523"/>
      <x:c r="N61" s="523"/>
      <x:c r="O61" s="523"/>
      <x:c r="P61" s="523"/>
      <x:c r="Q61" s="523"/>
      <x:c r="R61" s="523"/>
      <x:c r="S61" s="523"/>
      <x:c r="T61" s="521" t="str">
        <x:f>IF(MAX(E61:S61)=0,"",SUM(E61,H61,K61,N61,Q61,R61))</x:f>
      </x:c>
      <x:c r="U61" s="521" t="str">
        <x:f>IF(MAX(E61:S61)=0,"",SUM(F61,I61,L61,O61))</x:f>
      </x:c>
      <x:c r="V61" s="521" t="str">
        <x:f>IF(MAX(E61:S61)=0,"",SUM(G61,J61,M61,P61))</x:f>
      </x:c>
      <x:c r="W61" s="521" t="str">
        <x:f>IF(MAX(E61:S61)=0,"",S61)</x:f>
      </x:c>
      <x:c r="X61" s="521" t="str">
        <x:f>IF(MAX(E61:S61)=0,"",SUM(T61:W61))</x:f>
      </x:c>
      <x:c r="Y61" s="524" t="str">
        <x:f>IF(MAX(E61:S61)=0,"",INDEX($E$5:$S$5,1,MATCH(MAX(E61:S61),E61:S61,0)))</x:f>
      </x:c>
    </x:row>
    <x:row r="62" ht="20" customHeight="1">
      <x:c r="A62" s="516"/>
      <x:c r="B62" s="522"/>
      <x:c r="C62" s="516"/>
      <x:c r="D62" s="520"/>
      <x:c r="E62" s="523"/>
      <x:c r="F62" s="523"/>
      <x:c r="G62" s="523"/>
      <x:c r="H62" s="523"/>
      <x:c r="I62" s="523"/>
      <x:c r="J62" s="523"/>
      <x:c r="K62" s="523"/>
      <x:c r="L62" s="523"/>
      <x:c r="M62" s="523"/>
      <x:c r="N62" s="523"/>
      <x:c r="O62" s="523"/>
      <x:c r="P62" s="523"/>
      <x:c r="Q62" s="523"/>
      <x:c r="R62" s="523"/>
      <x:c r="S62" s="523"/>
      <x:c r="T62" s="521" t="str">
        <x:f>IF(MAX(E62:S62)=0,"",SUM(E62,H62,K62,N62,Q62,R62))</x:f>
      </x:c>
      <x:c r="U62" s="521" t="str">
        <x:f>IF(MAX(E62:S62)=0,"",SUM(F62,I62,L62,O62))</x:f>
      </x:c>
      <x:c r="V62" s="521" t="str">
        <x:f>IF(MAX(E62:S62)=0,"",SUM(G62,J62,M62,P62))</x:f>
      </x:c>
      <x:c r="W62" s="521" t="str">
        <x:f>IF(MAX(E62:S62)=0,"",S62)</x:f>
      </x:c>
      <x:c r="X62" s="521" t="str">
        <x:f>IF(MAX(E62:S62)=0,"",SUM(T62:W62))</x:f>
      </x:c>
      <x:c r="Y62" s="524" t="str">
        <x:f>IF(MAX(E62:S62)=0,"",INDEX($E$5:$S$5,1,MATCH(MAX(E62:S62),E62:S62,0)))</x:f>
      </x:c>
    </x:row>
    <x:row r="63" ht="20" customHeight="1">
      <x:c r="A63" s="516"/>
      <x:c r="B63" s="522"/>
      <x:c r="C63" s="516"/>
      <x:c r="D63" s="520"/>
      <x:c r="E63" s="523"/>
      <x:c r="F63" s="523"/>
      <x:c r="G63" s="523"/>
      <x:c r="H63" s="523"/>
      <x:c r="I63" s="523"/>
      <x:c r="J63" s="523"/>
      <x:c r="K63" s="523"/>
      <x:c r="L63" s="523"/>
      <x:c r="M63" s="523"/>
      <x:c r="N63" s="523"/>
      <x:c r="O63" s="523"/>
      <x:c r="P63" s="523"/>
      <x:c r="Q63" s="523"/>
      <x:c r="R63" s="523"/>
      <x:c r="S63" s="523"/>
      <x:c r="T63" s="521" t="str">
        <x:f>IF(MAX(E63:S63)=0,"",SUM(E63,H63,K63,N63,Q63,R63))</x:f>
      </x:c>
      <x:c r="U63" s="521" t="str">
        <x:f>IF(MAX(E63:S63)=0,"",SUM(F63,I63,L63,O63))</x:f>
      </x:c>
      <x:c r="V63" s="521" t="str">
        <x:f>IF(MAX(E63:S63)=0,"",SUM(G63,J63,M63,P63))</x:f>
      </x:c>
      <x:c r="W63" s="521" t="str">
        <x:f>IF(MAX(E63:S63)=0,"",S63)</x:f>
      </x:c>
      <x:c r="X63" s="521" t="str">
        <x:f>IF(MAX(E63:S63)=0,"",SUM(T63:W63))</x:f>
      </x:c>
      <x:c r="Y63" s="524" t="str">
        <x:f>IF(MAX(E63:S63)=0,"",INDEX($E$5:$S$5,1,MATCH(MAX(E63:S63),E63:S63,0)))</x:f>
      </x:c>
    </x:row>
    <x:row r="64" ht="20" customHeight="1">
      <x:c r="A64" s="516"/>
      <x:c r="B64" s="522"/>
      <x:c r="C64" s="516"/>
      <x:c r="D64" s="520"/>
      <x:c r="E64" s="523"/>
      <x:c r="F64" s="523"/>
      <x:c r="G64" s="523"/>
      <x:c r="H64" s="523"/>
      <x:c r="I64" s="523"/>
      <x:c r="J64" s="523"/>
      <x:c r="K64" s="523"/>
      <x:c r="L64" s="523"/>
      <x:c r="M64" s="523"/>
      <x:c r="N64" s="523"/>
      <x:c r="O64" s="523"/>
      <x:c r="P64" s="523"/>
      <x:c r="Q64" s="523"/>
      <x:c r="R64" s="523"/>
      <x:c r="S64" s="523"/>
      <x:c r="T64" s="521" t="str">
        <x:f>IF(MAX(E64:S64)=0,"",SUM(E64,H64,K64,N64,Q64,R64))</x:f>
      </x:c>
      <x:c r="U64" s="521" t="str">
        <x:f>IF(MAX(E64:S64)=0,"",SUM(F64,I64,L64,O64))</x:f>
      </x:c>
      <x:c r="V64" s="521" t="str">
        <x:f>IF(MAX(E64:S64)=0,"",SUM(G64,J64,M64,P64))</x:f>
      </x:c>
      <x:c r="W64" s="521" t="str">
        <x:f>IF(MAX(E64:S64)=0,"",S64)</x:f>
      </x:c>
      <x:c r="X64" s="521" t="str">
        <x:f>IF(MAX(E64:S64)=0,"",SUM(T64:W64))</x:f>
      </x:c>
      <x:c r="Y64" s="524" t="str">
        <x:f>IF(MAX(E64:S64)=0,"",INDEX($E$5:$S$5,1,MATCH(MAX(E64:S64),E64:S64,0)))</x:f>
      </x:c>
    </x:row>
    <x:row r="65" ht="20" customHeight="1">
      <x:c r="A65" s="516"/>
      <x:c r="B65" s="522"/>
      <x:c r="C65" s="516"/>
      <x:c r="D65" s="520"/>
      <x:c r="E65" s="523"/>
      <x:c r="F65" s="523"/>
      <x:c r="G65" s="523"/>
      <x:c r="H65" s="523"/>
      <x:c r="I65" s="523"/>
      <x:c r="J65" s="523"/>
      <x:c r="K65" s="523"/>
      <x:c r="L65" s="523"/>
      <x:c r="M65" s="523"/>
      <x:c r="N65" s="523"/>
      <x:c r="O65" s="523"/>
      <x:c r="P65" s="523"/>
      <x:c r="Q65" s="523"/>
      <x:c r="R65" s="523"/>
      <x:c r="S65" s="523"/>
      <x:c r="T65" s="521" t="str">
        <x:f>IF(MAX(E65:S65)=0,"",SUM(E65,H65,K65,N65,Q65,R65))</x:f>
      </x:c>
      <x:c r="U65" s="521" t="str">
        <x:f>IF(MAX(E65:S65)=0,"",SUM(F65,I65,L65,O65))</x:f>
      </x:c>
      <x:c r="V65" s="521" t="str">
        <x:f>IF(MAX(E65:S65)=0,"",SUM(G65,J65,M65,P65))</x:f>
      </x:c>
      <x:c r="W65" s="521" t="str">
        <x:f>IF(MAX(E65:S65)=0,"",S65)</x:f>
      </x:c>
      <x:c r="X65" s="521" t="str">
        <x:f>IF(MAX(E65:S65)=0,"",SUM(T65:W65))</x:f>
      </x:c>
      <x:c r="Y65" s="524" t="str">
        <x:f>IF(MAX(E65:S65)=0,"",INDEX($E$5:$S$5,1,MATCH(MAX(E65:S65),E65:S65,0)))</x:f>
      </x:c>
    </x:row>
    <x:row r="66" ht="20" customHeight="1">
      <x:c r="A66" s="516"/>
      <x:c r="B66" s="522"/>
      <x:c r="C66" s="516"/>
      <x:c r="D66" s="520"/>
      <x:c r="E66" s="523"/>
      <x:c r="F66" s="523"/>
      <x:c r="G66" s="523"/>
      <x:c r="H66" s="523"/>
      <x:c r="I66" s="523"/>
      <x:c r="J66" s="523"/>
      <x:c r="K66" s="523"/>
      <x:c r="L66" s="523"/>
      <x:c r="M66" s="523"/>
      <x:c r="N66" s="523"/>
      <x:c r="O66" s="523"/>
      <x:c r="P66" s="523"/>
      <x:c r="Q66" s="523"/>
      <x:c r="R66" s="523"/>
      <x:c r="S66" s="523"/>
      <x:c r="T66" s="521" t="str">
        <x:f>IF(MAX(E66:S66)=0,"",SUM(E66,H66,K66,N66,Q66,R66))</x:f>
      </x:c>
      <x:c r="U66" s="521" t="str">
        <x:f>IF(MAX(E66:S66)=0,"",SUM(F66,I66,L66,O66))</x:f>
      </x:c>
      <x:c r="V66" s="521" t="str">
        <x:f>IF(MAX(E66:S66)=0,"",SUM(G66,J66,M66,P66))</x:f>
      </x:c>
      <x:c r="W66" s="521" t="str">
        <x:f>IF(MAX(E66:S66)=0,"",S66)</x:f>
      </x:c>
      <x:c r="X66" s="521" t="str">
        <x:f>IF(MAX(E66:S66)=0,"",SUM(T66:W66))</x:f>
      </x:c>
      <x:c r="Y66" s="524" t="str">
        <x:f>IF(MAX(E66:S66)=0,"",INDEX($E$5:$S$5,1,MATCH(MAX(E66:S66),E66:S66,0)))</x:f>
      </x:c>
    </x:row>
    <x:row r="67" ht="20" customHeight="1">
      <x:c r="A67" s="516"/>
      <x:c r="B67" s="522"/>
      <x:c r="C67" s="516"/>
      <x:c r="D67" s="520"/>
      <x:c r="E67" s="523"/>
      <x:c r="F67" s="523"/>
      <x:c r="G67" s="523"/>
      <x:c r="H67" s="523"/>
      <x:c r="I67" s="523"/>
      <x:c r="J67" s="523"/>
      <x:c r="K67" s="523"/>
      <x:c r="L67" s="523"/>
      <x:c r="M67" s="523"/>
      <x:c r="N67" s="523"/>
      <x:c r="O67" s="523"/>
      <x:c r="P67" s="523"/>
      <x:c r="Q67" s="523"/>
      <x:c r="R67" s="523"/>
      <x:c r="S67" s="523"/>
      <x:c r="T67" s="521" t="str">
        <x:f>IF(MAX(E67:S67)=0,"",SUM(E67,H67,K67,N67,Q67,R67))</x:f>
      </x:c>
      <x:c r="U67" s="521" t="str">
        <x:f>IF(MAX(E67:S67)=0,"",SUM(F67,I67,L67,O67))</x:f>
      </x:c>
      <x:c r="V67" s="521" t="str">
        <x:f>IF(MAX(E67:S67)=0,"",SUM(G67,J67,M67,P67))</x:f>
      </x:c>
      <x:c r="W67" s="521" t="str">
        <x:f>IF(MAX(E67:S67)=0,"",S67)</x:f>
      </x:c>
      <x:c r="X67" s="521" t="str">
        <x:f>IF(MAX(E67:S67)=0,"",SUM(T67:W67))</x:f>
      </x:c>
      <x:c r="Y67" s="524" t="str">
        <x:f>IF(MAX(E67:S67)=0,"",INDEX($E$5:$S$5,1,MATCH(MAX(E67:S67),E67:S67,0)))</x:f>
      </x:c>
    </x:row>
    <x:row r="68" ht="20" customHeight="1">
      <x:c r="A68" s="516"/>
      <x:c r="B68" s="522"/>
      <x:c r="C68" s="516"/>
      <x:c r="D68" s="520"/>
      <x:c r="E68" s="523"/>
      <x:c r="F68" s="523"/>
      <x:c r="G68" s="523"/>
      <x:c r="H68" s="523"/>
      <x:c r="I68" s="523"/>
      <x:c r="J68" s="523"/>
      <x:c r="K68" s="523"/>
      <x:c r="L68" s="523"/>
      <x:c r="M68" s="523"/>
      <x:c r="N68" s="523"/>
      <x:c r="O68" s="523"/>
      <x:c r="P68" s="523"/>
      <x:c r="Q68" s="523"/>
      <x:c r="R68" s="523"/>
      <x:c r="S68" s="523"/>
      <x:c r="T68" s="521" t="str">
        <x:f>IF(MAX(E68:S68)=0,"",SUM(E68,H68,K68,N68,Q68,R68))</x:f>
      </x:c>
      <x:c r="U68" s="521" t="str">
        <x:f>IF(MAX(E68:S68)=0,"",SUM(F68,I68,L68,O68))</x:f>
      </x:c>
      <x:c r="V68" s="521" t="str">
        <x:f>IF(MAX(E68:S68)=0,"",SUM(G68,J68,M68,P68))</x:f>
      </x:c>
      <x:c r="W68" s="521" t="str">
        <x:f>IF(MAX(E68:S68)=0,"",S68)</x:f>
      </x:c>
      <x:c r="X68" s="521" t="str">
        <x:f>IF(MAX(E68:S68)=0,"",SUM(T68:W68))</x:f>
      </x:c>
      <x:c r="Y68" s="524" t="str">
        <x:f>IF(MAX(E68:S68)=0,"",INDEX($E$5:$S$5,1,MATCH(MAX(E68:S68),E68:S68,0)))</x:f>
      </x:c>
    </x:row>
    <x:row r="69" ht="20" customHeight="1">
      <x:c r="A69" s="516"/>
      <x:c r="B69" s="522"/>
      <x:c r="C69" s="516"/>
      <x:c r="D69" s="520"/>
      <x:c r="E69" s="523"/>
      <x:c r="F69" s="523"/>
      <x:c r="G69" s="523"/>
      <x:c r="H69" s="523"/>
      <x:c r="I69" s="523"/>
      <x:c r="J69" s="523"/>
      <x:c r="K69" s="523"/>
      <x:c r="L69" s="523"/>
      <x:c r="M69" s="523"/>
      <x:c r="N69" s="523"/>
      <x:c r="O69" s="523"/>
      <x:c r="P69" s="523"/>
      <x:c r="Q69" s="523"/>
      <x:c r="R69" s="523"/>
      <x:c r="S69" s="523"/>
      <x:c r="T69" s="521" t="str">
        <x:f>IF(MAX(E69:S69)=0,"",SUM(E69,H69,K69,N69,Q69,R69))</x:f>
      </x:c>
      <x:c r="U69" s="521" t="str">
        <x:f>IF(MAX(E69:S69)=0,"",SUM(F69,I69,L69,O69))</x:f>
      </x:c>
      <x:c r="V69" s="521" t="str">
        <x:f>IF(MAX(E69:S69)=0,"",SUM(G69,J69,M69,P69))</x:f>
      </x:c>
      <x:c r="W69" s="521" t="str">
        <x:f>IF(MAX(E69:S69)=0,"",S69)</x:f>
      </x:c>
      <x:c r="X69" s="521" t="str">
        <x:f>IF(MAX(E69:S69)=0,"",SUM(T69:W69))</x:f>
      </x:c>
      <x:c r="Y69" s="524" t="str">
        <x:f>IF(MAX(E69:S69)=0,"",INDEX($E$5:$S$5,1,MATCH(MAX(E69:S69),E69:S69,0)))</x:f>
      </x:c>
    </x:row>
    <x:row r="70" ht="20" customHeight="1">
      <x:c r="A70" s="516"/>
      <x:c r="B70" s="522"/>
      <x:c r="C70" s="516"/>
      <x:c r="D70" s="520"/>
      <x:c r="E70" s="523"/>
      <x:c r="F70" s="523"/>
      <x:c r="G70" s="523"/>
      <x:c r="H70" s="523"/>
      <x:c r="I70" s="523"/>
      <x:c r="J70" s="523"/>
      <x:c r="K70" s="523"/>
      <x:c r="L70" s="523"/>
      <x:c r="M70" s="523"/>
      <x:c r="N70" s="523"/>
      <x:c r="O70" s="523"/>
      <x:c r="P70" s="523"/>
      <x:c r="Q70" s="523"/>
      <x:c r="R70" s="523"/>
      <x:c r="S70" s="523"/>
      <x:c r="T70" s="521" t="str">
        <x:f>IF(MAX(E70:S70)=0,"",SUM(E70,H70,K70,N70,Q70,R70))</x:f>
      </x:c>
      <x:c r="U70" s="521" t="str">
        <x:f>IF(MAX(E70:S70)=0,"",SUM(F70,I70,L70,O70))</x:f>
      </x:c>
      <x:c r="V70" s="521" t="str">
        <x:f>IF(MAX(E70:S70)=0,"",SUM(G70,J70,M70,P70))</x:f>
      </x:c>
      <x:c r="W70" s="521" t="str">
        <x:f>IF(MAX(E70:S70)=0,"",S70)</x:f>
      </x:c>
      <x:c r="X70" s="521" t="str">
        <x:f>IF(MAX(E70:S70)=0,"",SUM(T70:W70))</x:f>
      </x:c>
      <x:c r="Y70" s="524" t="str">
        <x:f>IF(MAX(E70:S70)=0,"",INDEX($E$5:$S$5,1,MATCH(MAX(E70:S70),E70:S70,0)))</x:f>
      </x:c>
    </x:row>
    <x:row r="71" ht="20" customHeight="1">
      <x:c r="A71" s="516"/>
      <x:c r="B71" s="522"/>
      <x:c r="C71" s="516"/>
      <x:c r="D71" s="520"/>
      <x:c r="E71" s="523"/>
      <x:c r="F71" s="523"/>
      <x:c r="G71" s="523"/>
      <x:c r="H71" s="523"/>
      <x:c r="I71" s="523"/>
      <x:c r="J71" s="523"/>
      <x:c r="K71" s="523"/>
      <x:c r="L71" s="523"/>
      <x:c r="M71" s="523"/>
      <x:c r="N71" s="523"/>
      <x:c r="O71" s="523"/>
      <x:c r="P71" s="523"/>
      <x:c r="Q71" s="523"/>
      <x:c r="R71" s="523"/>
      <x:c r="S71" s="523"/>
      <x:c r="T71" s="521" t="str">
        <x:f>IF(MAX(E71:S71)=0,"",SUM(E71,H71,K71,N71,Q71,R71))</x:f>
      </x:c>
      <x:c r="U71" s="521" t="str">
        <x:f>IF(MAX(E71:S71)=0,"",SUM(F71,I71,L71,O71))</x:f>
      </x:c>
      <x:c r="V71" s="521" t="str">
        <x:f>IF(MAX(E71:S71)=0,"",SUM(G71,J71,M71,P71))</x:f>
      </x:c>
      <x:c r="W71" s="521" t="str">
        <x:f>IF(MAX(E71:S71)=0,"",S71)</x:f>
      </x:c>
      <x:c r="X71" s="521" t="str">
        <x:f>IF(MAX(E71:S71)=0,"",SUM(T71:W71))</x:f>
      </x:c>
      <x:c r="Y71" s="524" t="str">
        <x:f>IF(MAX(E71:S71)=0,"",INDEX($E$5:$S$5,1,MATCH(MAX(E71:S71),E71:S71,0)))</x:f>
      </x:c>
    </x:row>
    <x:row r="72" ht="20" customHeight="1">
      <x:c r="A72" s="516"/>
      <x:c r="B72" s="522"/>
      <x:c r="C72" s="516"/>
      <x:c r="D72" s="520"/>
      <x:c r="E72" s="523"/>
      <x:c r="F72" s="523"/>
      <x:c r="G72" s="523"/>
      <x:c r="H72" s="523"/>
      <x:c r="I72" s="523"/>
      <x:c r="J72" s="523"/>
      <x:c r="K72" s="523"/>
      <x:c r="L72" s="523"/>
      <x:c r="M72" s="523"/>
      <x:c r="N72" s="523"/>
      <x:c r="O72" s="523"/>
      <x:c r="P72" s="523"/>
      <x:c r="Q72" s="523"/>
      <x:c r="R72" s="523"/>
      <x:c r="S72" s="523"/>
      <x:c r="T72" s="521" t="str">
        <x:f>IF(MAX(E72:S72)=0,"",SUM(E72,H72,K72,N72,Q72,R72))</x:f>
      </x:c>
      <x:c r="U72" s="521" t="str">
        <x:f>IF(MAX(E72:S72)=0,"",SUM(F72,I72,L72,O72))</x:f>
      </x:c>
      <x:c r="V72" s="521" t="str">
        <x:f>IF(MAX(E72:S72)=0,"",SUM(G72,J72,M72,P72))</x:f>
      </x:c>
      <x:c r="W72" s="521" t="str">
        <x:f>IF(MAX(E72:S72)=0,"",S72)</x:f>
      </x:c>
      <x:c r="X72" s="521" t="str">
        <x:f>IF(MAX(E72:S72)=0,"",SUM(T72:W72))</x:f>
      </x:c>
      <x:c r="Y72" s="524" t="str">
        <x:f>IF(MAX(E72:S72)=0,"",INDEX($E$5:$S$5,1,MATCH(MAX(E72:S72),E72:S72,0)))</x:f>
      </x:c>
    </x:row>
    <x:row r="73" ht="20" customHeight="1">
      <x:c r="A73" s="516"/>
      <x:c r="B73" s="522"/>
      <x:c r="C73" s="516"/>
      <x:c r="D73" s="520"/>
      <x:c r="E73" s="523"/>
      <x:c r="F73" s="523"/>
      <x:c r="G73" s="523"/>
      <x:c r="H73" s="523"/>
      <x:c r="I73" s="523"/>
      <x:c r="J73" s="523"/>
      <x:c r="K73" s="523"/>
      <x:c r="L73" s="523"/>
      <x:c r="M73" s="523"/>
      <x:c r="N73" s="523"/>
      <x:c r="O73" s="523"/>
      <x:c r="P73" s="523"/>
      <x:c r="Q73" s="523"/>
      <x:c r="R73" s="523"/>
      <x:c r="S73" s="523"/>
      <x:c r="T73" s="521" t="str">
        <x:f>IF(MAX(E73:S73)=0,"",SUM(E73,H73,K73,N73,Q73,R73))</x:f>
      </x:c>
      <x:c r="U73" s="521" t="str">
        <x:f>IF(MAX(E73:S73)=0,"",SUM(F73,I73,L73,O73))</x:f>
      </x:c>
      <x:c r="V73" s="521" t="str">
        <x:f>IF(MAX(E73:S73)=0,"",SUM(G73,J73,M73,P73))</x:f>
      </x:c>
      <x:c r="W73" s="521" t="str">
        <x:f>IF(MAX(E73:S73)=0,"",S73)</x:f>
      </x:c>
      <x:c r="X73" s="521" t="str">
        <x:f>IF(MAX(E73:S73)=0,"",SUM(T73:W73))</x:f>
      </x:c>
      <x:c r="Y73" s="524" t="str">
        <x:f>IF(MAX(E73:S73)=0,"",INDEX($E$5:$S$5,1,MATCH(MAX(E73:S73),E73:S73,0)))</x:f>
      </x:c>
    </x:row>
    <x:row r="74" ht="20" customHeight="1">
      <x:c r="A74" s="516"/>
      <x:c r="B74" s="522"/>
      <x:c r="C74" s="516"/>
      <x:c r="D74" s="520"/>
      <x:c r="E74" s="523"/>
      <x:c r="F74" s="523"/>
      <x:c r="G74" s="523"/>
      <x:c r="H74" s="523"/>
      <x:c r="I74" s="523"/>
      <x:c r="J74" s="523"/>
      <x:c r="K74" s="523"/>
      <x:c r="L74" s="523"/>
      <x:c r="M74" s="523"/>
      <x:c r="N74" s="523"/>
      <x:c r="O74" s="523"/>
      <x:c r="P74" s="523"/>
      <x:c r="Q74" s="523"/>
      <x:c r="R74" s="523"/>
      <x:c r="S74" s="523"/>
      <x:c r="T74" s="521" t="str">
        <x:f>IF(MAX(E74:S74)=0,"",SUM(E74,H74,K74,N74,Q74,R74))</x:f>
      </x:c>
      <x:c r="U74" s="521" t="str">
        <x:f>IF(MAX(E74:S74)=0,"",SUM(F74,I74,L74,O74))</x:f>
      </x:c>
      <x:c r="V74" s="521" t="str">
        <x:f>IF(MAX(E74:S74)=0,"",SUM(G74,J74,M74,P74))</x:f>
      </x:c>
      <x:c r="W74" s="521" t="str">
        <x:f>IF(MAX(E74:S74)=0,"",S74)</x:f>
      </x:c>
      <x:c r="X74" s="521" t="str">
        <x:f>IF(MAX(E74:S74)=0,"",SUM(T74:W74))</x:f>
      </x:c>
      <x:c r="Y74" s="524" t="str">
        <x:f>IF(MAX(E74:S74)=0,"",INDEX($E$5:$S$5,1,MATCH(MAX(E74:S74),E74:S74,0)))</x:f>
      </x:c>
    </x:row>
    <x:row r="75" ht="20" customHeight="1">
      <x:c r="A75" s="516"/>
      <x:c r="B75" s="522"/>
      <x:c r="C75" s="516"/>
      <x:c r="D75" s="520"/>
      <x:c r="E75" s="523"/>
      <x:c r="F75" s="523"/>
      <x:c r="G75" s="523"/>
      <x:c r="H75" s="523"/>
      <x:c r="I75" s="523"/>
      <x:c r="J75" s="523"/>
      <x:c r="K75" s="523"/>
      <x:c r="L75" s="523"/>
      <x:c r="M75" s="523"/>
      <x:c r="N75" s="523"/>
      <x:c r="O75" s="523"/>
      <x:c r="P75" s="523"/>
      <x:c r="Q75" s="523"/>
      <x:c r="R75" s="523"/>
      <x:c r="S75" s="523"/>
      <x:c r="T75" s="521" t="str">
        <x:f>IF(MAX(E75:S75)=0,"",SUM(E75,H75,K75,N75,Q75,R75))</x:f>
      </x:c>
      <x:c r="U75" s="521" t="str">
        <x:f>IF(MAX(E75:S75)=0,"",SUM(F75,I75,L75,O75))</x:f>
      </x:c>
      <x:c r="V75" s="521" t="str">
        <x:f>IF(MAX(E75:S75)=0,"",SUM(G75,J75,M75,P75))</x:f>
      </x:c>
      <x:c r="W75" s="521" t="str">
        <x:f>IF(MAX(E75:S75)=0,"",S75)</x:f>
      </x:c>
      <x:c r="X75" s="521" t="str">
        <x:f>IF(MAX(E75:S75)=0,"",SUM(T75:W75))</x:f>
      </x:c>
      <x:c r="Y75" s="524" t="str">
        <x:f>IF(MAX(E75:S75)=0,"",INDEX($E$5:$S$5,1,MATCH(MAX(E75:S75),E75:S75,0)))</x:f>
      </x:c>
    </x:row>
    <x:row r="76" ht="20" customHeight="1">
      <x:c r="A76" s="516"/>
      <x:c r="B76" s="522"/>
      <x:c r="C76" s="516"/>
      <x:c r="D76" s="520"/>
      <x:c r="E76" s="523"/>
      <x:c r="F76" s="523"/>
      <x:c r="G76" s="523"/>
      <x:c r="H76" s="523"/>
      <x:c r="I76" s="523"/>
      <x:c r="J76" s="523"/>
      <x:c r="K76" s="523"/>
      <x:c r="L76" s="523"/>
      <x:c r="M76" s="523"/>
      <x:c r="N76" s="523"/>
      <x:c r="O76" s="523"/>
      <x:c r="P76" s="523"/>
      <x:c r="Q76" s="523"/>
      <x:c r="R76" s="523"/>
      <x:c r="S76" s="523"/>
      <x:c r="T76" s="521" t="str">
        <x:f>IF(MAX(E76:S76)=0,"",SUM(E76,H76,K76,N76,Q76,R76))</x:f>
      </x:c>
      <x:c r="U76" s="521" t="str">
        <x:f>IF(MAX(E76:S76)=0,"",SUM(F76,I76,L76,O76))</x:f>
      </x:c>
      <x:c r="V76" s="521" t="str">
        <x:f>IF(MAX(E76:S76)=0,"",SUM(G76,J76,M76,P76))</x:f>
      </x:c>
      <x:c r="W76" s="521" t="str">
        <x:f>IF(MAX(E76:S76)=0,"",S76)</x:f>
      </x:c>
      <x:c r="X76" s="521" t="str">
        <x:f>IF(MAX(E76:S76)=0,"",SUM(T76:W76))</x:f>
      </x:c>
      <x:c r="Y76" s="524" t="str">
        <x:f>IF(MAX(E76:S76)=0,"",INDEX($E$5:$S$5,1,MATCH(MAX(E76:S76),E76:S76,0)))</x:f>
      </x:c>
    </x:row>
    <x:row r="77" ht="20" customHeight="1">
      <x:c r="A77" s="516"/>
      <x:c r="B77" s="522"/>
      <x:c r="C77" s="516"/>
      <x:c r="D77" s="520"/>
      <x:c r="E77" s="523"/>
      <x:c r="F77" s="523"/>
      <x:c r="G77" s="523"/>
      <x:c r="H77" s="523"/>
      <x:c r="I77" s="523"/>
      <x:c r="J77" s="523"/>
      <x:c r="K77" s="523"/>
      <x:c r="L77" s="523"/>
      <x:c r="M77" s="523"/>
      <x:c r="N77" s="523"/>
      <x:c r="O77" s="523"/>
      <x:c r="P77" s="523"/>
      <x:c r="Q77" s="523"/>
      <x:c r="R77" s="523"/>
      <x:c r="S77" s="523"/>
      <x:c r="T77" s="521" t="str">
        <x:f>IF(MAX(E77:S77)=0,"",SUM(E77,H77,K77,N77,Q77,R77))</x:f>
      </x:c>
      <x:c r="U77" s="521" t="str">
        <x:f>IF(MAX(E77:S77)=0,"",SUM(F77,I77,L77,O77))</x:f>
      </x:c>
      <x:c r="V77" s="521" t="str">
        <x:f>IF(MAX(E77:S77)=0,"",SUM(G77,J77,M77,P77))</x:f>
      </x:c>
      <x:c r="W77" s="521" t="str">
        <x:f>IF(MAX(E77:S77)=0,"",S77)</x:f>
      </x:c>
      <x:c r="X77" s="521" t="str">
        <x:f>IF(MAX(E77:S77)=0,"",SUM(T77:W77))</x:f>
      </x:c>
      <x:c r="Y77" s="524" t="str">
        <x:f>IF(MAX(E77:S77)=0,"",INDEX($E$5:$S$5,1,MATCH(MAX(E77:S77),E77:S77,0)))</x:f>
      </x:c>
    </x:row>
    <x:row r="78" ht="20" customHeight="1">
      <x:c r="A78" s="516"/>
      <x:c r="B78" s="522"/>
      <x:c r="C78" s="516"/>
      <x:c r="D78" s="520"/>
      <x:c r="E78" s="523"/>
      <x:c r="F78" s="523"/>
      <x:c r="G78" s="523"/>
      <x:c r="H78" s="523"/>
      <x:c r="I78" s="523"/>
      <x:c r="J78" s="523"/>
      <x:c r="K78" s="523"/>
      <x:c r="L78" s="523"/>
      <x:c r="M78" s="523"/>
      <x:c r="N78" s="523"/>
      <x:c r="O78" s="523"/>
      <x:c r="P78" s="523"/>
      <x:c r="Q78" s="523"/>
      <x:c r="R78" s="523"/>
      <x:c r="S78" s="523"/>
      <x:c r="T78" s="521" t="str">
        <x:f>IF(MAX(E78:S78)=0,"",SUM(E78,H78,K78,N78,Q78,R78))</x:f>
      </x:c>
      <x:c r="U78" s="521" t="str">
        <x:f>IF(MAX(E78:S78)=0,"",SUM(F78,I78,L78,O78))</x:f>
      </x:c>
      <x:c r="V78" s="521" t="str">
        <x:f>IF(MAX(E78:S78)=0,"",SUM(G78,J78,M78,P78))</x:f>
      </x:c>
      <x:c r="W78" s="521" t="str">
        <x:f>IF(MAX(E78:S78)=0,"",S78)</x:f>
      </x:c>
      <x:c r="X78" s="521" t="str">
        <x:f>IF(MAX(E78:S78)=0,"",SUM(T78:W78))</x:f>
      </x:c>
      <x:c r="Y78" s="524" t="str">
        <x:f>IF(MAX(E78:S78)=0,"",INDEX($E$5:$S$5,1,MATCH(MAX(E78:S78),E78:S78,0)))</x:f>
      </x:c>
    </x:row>
    <x:row r="79" ht="20" customHeight="1">
      <x:c r="A79" s="516"/>
      <x:c r="B79" s="522"/>
      <x:c r="C79" s="516"/>
      <x:c r="D79" s="520"/>
      <x:c r="E79" s="523"/>
      <x:c r="F79" s="523"/>
      <x:c r="G79" s="523"/>
      <x:c r="H79" s="523"/>
      <x:c r="I79" s="523"/>
      <x:c r="J79" s="523"/>
      <x:c r="K79" s="523"/>
      <x:c r="L79" s="523"/>
      <x:c r="M79" s="523"/>
      <x:c r="N79" s="523"/>
      <x:c r="O79" s="523"/>
      <x:c r="P79" s="523"/>
      <x:c r="Q79" s="523"/>
      <x:c r="R79" s="523"/>
      <x:c r="S79" s="523"/>
      <x:c r="T79" s="521" t="str">
        <x:f>IF(MAX(E79:S79)=0,"",SUM(E79,H79,K79,N79,Q79,R79))</x:f>
      </x:c>
      <x:c r="U79" s="521" t="str">
        <x:f>IF(MAX(E79:S79)=0,"",SUM(F79,I79,L79,O79))</x:f>
      </x:c>
      <x:c r="V79" s="521" t="str">
        <x:f>IF(MAX(E79:S79)=0,"",SUM(G79,J79,M79,P79))</x:f>
      </x:c>
      <x:c r="W79" s="521" t="str">
        <x:f>IF(MAX(E79:S79)=0,"",S79)</x:f>
      </x:c>
      <x:c r="X79" s="521" t="str">
        <x:f>IF(MAX(E79:S79)=0,"",SUM(T79:W79))</x:f>
      </x:c>
      <x:c r="Y79" s="524" t="str">
        <x:f>IF(MAX(E79:S79)=0,"",INDEX($E$5:$S$5,1,MATCH(MAX(E79:S79),E79:S79,0)))</x:f>
      </x:c>
    </x:row>
    <x:row r="80" ht="20" customHeight="1">
      <x:c r="A80" s="516"/>
      <x:c r="B80" s="522"/>
      <x:c r="C80" s="516"/>
      <x:c r="D80" s="520"/>
      <x:c r="E80" s="523"/>
      <x:c r="F80" s="523"/>
      <x:c r="G80" s="523"/>
      <x:c r="H80" s="523"/>
      <x:c r="I80" s="523"/>
      <x:c r="J80" s="523"/>
      <x:c r="K80" s="523"/>
      <x:c r="L80" s="523"/>
      <x:c r="M80" s="523"/>
      <x:c r="N80" s="523"/>
      <x:c r="O80" s="523"/>
      <x:c r="P80" s="523"/>
      <x:c r="Q80" s="523"/>
      <x:c r="R80" s="523"/>
      <x:c r="S80" s="523"/>
      <x:c r="T80" s="521" t="str">
        <x:f>IF(MAX(E80:S80)=0,"",SUM(E80,H80,K80,N80,Q80,R80))</x:f>
      </x:c>
      <x:c r="U80" s="521" t="str">
        <x:f>IF(MAX(E80:S80)=0,"",SUM(F80,I80,L80,O80))</x:f>
      </x:c>
      <x:c r="V80" s="521" t="str">
        <x:f>IF(MAX(E80:S80)=0,"",SUM(G80,J80,M80,P80))</x:f>
      </x:c>
      <x:c r="W80" s="521" t="str">
        <x:f>IF(MAX(E80:S80)=0,"",S80)</x:f>
      </x:c>
      <x:c r="X80" s="521" t="str">
        <x:f>IF(MAX(E80:S80)=0,"",SUM(T80:W80))</x:f>
      </x:c>
      <x:c r="Y80" s="524" t="str">
        <x:f>IF(MAX(E80:S80)=0,"",INDEX($E$5:$S$5,1,MATCH(MAX(E80:S80),E80:S80,0)))</x:f>
      </x:c>
    </x:row>
    <x:row r="81" ht="20" customHeight="1">
      <x:c r="A81" s="516"/>
      <x:c r="B81" s="522"/>
      <x:c r="C81" s="516"/>
      <x:c r="D81" s="520"/>
      <x:c r="E81" s="523"/>
      <x:c r="F81" s="523"/>
      <x:c r="G81" s="523"/>
      <x:c r="H81" s="523"/>
      <x:c r="I81" s="523"/>
      <x:c r="J81" s="523"/>
      <x:c r="K81" s="523"/>
      <x:c r="L81" s="523"/>
      <x:c r="M81" s="523"/>
      <x:c r="N81" s="523"/>
      <x:c r="O81" s="523"/>
      <x:c r="P81" s="523"/>
      <x:c r="Q81" s="523"/>
      <x:c r="R81" s="523"/>
      <x:c r="S81" s="523"/>
      <x:c r="T81" s="521" t="str">
        <x:f>IF(MAX(E81:S81)=0,"",SUM(E81,H81,K81,N81,Q81,R81))</x:f>
      </x:c>
      <x:c r="U81" s="521" t="str">
        <x:f>IF(MAX(E81:S81)=0,"",SUM(F81,I81,L81,O81))</x:f>
      </x:c>
      <x:c r="V81" s="521" t="str">
        <x:f>IF(MAX(E81:S81)=0,"",SUM(G81,J81,M81,P81))</x:f>
      </x:c>
      <x:c r="W81" s="521" t="str">
        <x:f>IF(MAX(E81:S81)=0,"",S81)</x:f>
      </x:c>
      <x:c r="X81" s="521" t="str">
        <x:f>IF(MAX(E81:S81)=0,"",SUM(T81:W81))</x:f>
      </x:c>
      <x:c r="Y81" s="524" t="str">
        <x:f>IF(MAX(E81:S81)=0,"",INDEX($E$5:$S$5,1,MATCH(MAX(E81:S81),E81:S81,0)))</x:f>
      </x:c>
    </x:row>
    <x:row r="82" ht="20" customHeight="1">
      <x:c r="A82" s="516"/>
      <x:c r="B82" s="522"/>
      <x:c r="C82" s="516"/>
      <x:c r="D82" s="520"/>
      <x:c r="E82" s="523"/>
      <x:c r="F82" s="523"/>
      <x:c r="G82" s="523"/>
      <x:c r="H82" s="523"/>
      <x:c r="I82" s="523"/>
      <x:c r="J82" s="523"/>
      <x:c r="K82" s="523"/>
      <x:c r="L82" s="523"/>
      <x:c r="M82" s="523"/>
      <x:c r="N82" s="523"/>
      <x:c r="O82" s="523"/>
      <x:c r="P82" s="523"/>
      <x:c r="Q82" s="523"/>
      <x:c r="R82" s="523"/>
      <x:c r="S82" s="523"/>
      <x:c r="T82" s="521" t="str">
        <x:f>IF(MAX(E82:S82)=0,"",SUM(E82,H82,K82,N82,Q82,R82))</x:f>
      </x:c>
      <x:c r="U82" s="521" t="str">
        <x:f>IF(MAX(E82:S82)=0,"",SUM(F82,I82,L82,O82))</x:f>
      </x:c>
      <x:c r="V82" s="521" t="str">
        <x:f>IF(MAX(E82:S82)=0,"",SUM(G82,J82,M82,P82))</x:f>
      </x:c>
      <x:c r="W82" s="521" t="str">
        <x:f>IF(MAX(E82:S82)=0,"",S82)</x:f>
      </x:c>
      <x:c r="X82" s="521" t="str">
        <x:f>IF(MAX(E82:S82)=0,"",SUM(T82:W82))</x:f>
      </x:c>
      <x:c r="Y82" s="524" t="str">
        <x:f>IF(MAX(E82:S82)=0,"",INDEX($E$5:$S$5,1,MATCH(MAX(E82:S82),E82:S82,0)))</x:f>
      </x:c>
    </x:row>
    <x:row r="83" ht="20" customHeight="1">
      <x:c r="A83" s="516"/>
      <x:c r="B83" s="522"/>
      <x:c r="C83" s="516"/>
      <x:c r="D83" s="520"/>
      <x:c r="E83" s="523"/>
      <x:c r="F83" s="523"/>
      <x:c r="G83" s="523"/>
      <x:c r="H83" s="523"/>
      <x:c r="I83" s="523"/>
      <x:c r="J83" s="523"/>
      <x:c r="K83" s="523"/>
      <x:c r="L83" s="523"/>
      <x:c r="M83" s="523"/>
      <x:c r="N83" s="523"/>
      <x:c r="O83" s="523"/>
      <x:c r="P83" s="523"/>
      <x:c r="Q83" s="523"/>
      <x:c r="R83" s="523"/>
      <x:c r="S83" s="523"/>
      <x:c r="T83" s="521" t="str">
        <x:f>IF(MAX(E83:S83)=0,"",SUM(E83,H83,K83,N83,Q83,R83))</x:f>
      </x:c>
      <x:c r="U83" s="521" t="str">
        <x:f>IF(MAX(E83:S83)=0,"",SUM(F83,I83,L83,O83))</x:f>
      </x:c>
      <x:c r="V83" s="521" t="str">
        <x:f>IF(MAX(E83:S83)=0,"",SUM(G83,J83,M83,P83))</x:f>
      </x:c>
      <x:c r="W83" s="521" t="str">
        <x:f>IF(MAX(E83:S83)=0,"",S83)</x:f>
      </x:c>
      <x:c r="X83" s="521" t="str">
        <x:f>IF(MAX(E83:S83)=0,"",SUM(T83:W83))</x:f>
      </x:c>
      <x:c r="Y83" s="524" t="str">
        <x:f>IF(MAX(E83:S83)=0,"",INDEX($E$5:$S$5,1,MATCH(MAX(E83:S83),E83:S83,0)))</x:f>
      </x:c>
    </x:row>
    <x:row r="84" ht="20" customHeight="1">
      <x:c r="A84" s="516"/>
      <x:c r="B84" s="522"/>
      <x:c r="C84" s="516"/>
      <x:c r="D84" s="520"/>
      <x:c r="E84" s="523"/>
      <x:c r="F84" s="523"/>
      <x:c r="G84" s="523"/>
      <x:c r="H84" s="523"/>
      <x:c r="I84" s="523"/>
      <x:c r="J84" s="523"/>
      <x:c r="K84" s="523"/>
      <x:c r="L84" s="523"/>
      <x:c r="M84" s="523"/>
      <x:c r="N84" s="523"/>
      <x:c r="O84" s="523"/>
      <x:c r="P84" s="523"/>
      <x:c r="Q84" s="523"/>
      <x:c r="R84" s="523"/>
      <x:c r="S84" s="523"/>
      <x:c r="T84" s="521" t="str">
        <x:f>IF(MAX(E84:S84)=0,"",SUM(E84,H84,K84,N84,Q84,R84))</x:f>
      </x:c>
      <x:c r="U84" s="521" t="str">
        <x:f>IF(MAX(E84:S84)=0,"",SUM(F84,I84,L84,O84))</x:f>
      </x:c>
      <x:c r="V84" s="521" t="str">
        <x:f>IF(MAX(E84:S84)=0,"",SUM(G84,J84,M84,P84))</x:f>
      </x:c>
      <x:c r="W84" s="521" t="str">
        <x:f>IF(MAX(E84:S84)=0,"",S84)</x:f>
      </x:c>
      <x:c r="X84" s="521" t="str">
        <x:f>IF(MAX(E84:S84)=0,"",SUM(T84:W84))</x:f>
      </x:c>
      <x:c r="Y84" s="524" t="str">
        <x:f>IF(MAX(E84:S84)=0,"",INDEX($E$5:$S$5,1,MATCH(MAX(E84:S84),E84:S84,0)))</x:f>
      </x:c>
    </x:row>
    <x:row r="85" ht="20" customHeight="1">
      <x:c r="A85" s="516"/>
      <x:c r="B85" s="522"/>
      <x:c r="C85" s="516"/>
      <x:c r="D85" s="520"/>
      <x:c r="E85" s="523"/>
      <x:c r="F85" s="523"/>
      <x:c r="G85" s="523"/>
      <x:c r="H85" s="523"/>
      <x:c r="I85" s="523"/>
      <x:c r="J85" s="523"/>
      <x:c r="K85" s="523"/>
      <x:c r="L85" s="523"/>
      <x:c r="M85" s="523"/>
      <x:c r="N85" s="523"/>
      <x:c r="O85" s="523"/>
      <x:c r="P85" s="523"/>
      <x:c r="Q85" s="523"/>
      <x:c r="R85" s="523"/>
      <x:c r="S85" s="523"/>
      <x:c r="T85" s="521" t="str">
        <x:f>IF(MAX(E85:S85)=0,"",SUM(E85,H85,K85,N85,Q85,R85))</x:f>
      </x:c>
      <x:c r="U85" s="521" t="str">
        <x:f>IF(MAX(E85:S85)=0,"",SUM(F85,I85,L85,O85))</x:f>
      </x:c>
      <x:c r="V85" s="521" t="str">
        <x:f>IF(MAX(E85:S85)=0,"",SUM(G85,J85,M85,P85))</x:f>
      </x:c>
      <x:c r="W85" s="521" t="str">
        <x:f>IF(MAX(E85:S85)=0,"",S85)</x:f>
      </x:c>
      <x:c r="X85" s="521" t="str">
        <x:f>IF(MAX(E85:S85)=0,"",SUM(T85:W85))</x:f>
      </x:c>
      <x:c r="Y85" s="524" t="str">
        <x:f>IF(MAX(E85:S85)=0,"",INDEX($E$5:$S$5,1,MATCH(MAX(E85:S85),E85:S85,0)))</x:f>
      </x:c>
    </x:row>
    <x:row r="86" ht="20" customHeight="1">
      <x:c r="A86" s="516"/>
      <x:c r="B86" s="522"/>
      <x:c r="C86" s="516"/>
      <x:c r="D86" s="520"/>
      <x:c r="E86" s="523"/>
      <x:c r="F86" s="523"/>
      <x:c r="G86" s="523"/>
      <x:c r="H86" s="523"/>
      <x:c r="I86" s="523"/>
      <x:c r="J86" s="523"/>
      <x:c r="K86" s="523"/>
      <x:c r="L86" s="523"/>
      <x:c r="M86" s="523"/>
      <x:c r="N86" s="523"/>
      <x:c r="O86" s="523"/>
      <x:c r="P86" s="523"/>
      <x:c r="Q86" s="523"/>
      <x:c r="R86" s="523"/>
      <x:c r="S86" s="523"/>
      <x:c r="T86" s="521" t="str">
        <x:f>IF(MAX(E86:S86)=0,"",SUM(E86,H86,K86,N86,Q86,R86))</x:f>
      </x:c>
      <x:c r="U86" s="521" t="str">
        <x:f>IF(MAX(E86:S86)=0,"",SUM(F86,I86,L86,O86))</x:f>
      </x:c>
      <x:c r="V86" s="521" t="str">
        <x:f>IF(MAX(E86:S86)=0,"",SUM(G86,J86,M86,P86))</x:f>
      </x:c>
      <x:c r="W86" s="521" t="str">
        <x:f>IF(MAX(E86:S86)=0,"",S86)</x:f>
      </x:c>
      <x:c r="X86" s="521" t="str">
        <x:f>IF(MAX(E86:S86)=0,"",SUM(T86:W86))</x:f>
      </x:c>
      <x:c r="Y86" s="524" t="str">
        <x:f>IF(MAX(E86:S86)=0,"",INDEX($E$5:$S$5,1,MATCH(MAX(E86:S86),E86:S86,0)))</x:f>
      </x:c>
    </x:row>
    <x:row r="87" ht="20" customHeight="1">
      <x:c r="A87" s="516"/>
      <x:c r="B87" s="522"/>
      <x:c r="C87" s="516"/>
      <x:c r="D87" s="520"/>
      <x:c r="E87" s="523"/>
      <x:c r="F87" s="523"/>
      <x:c r="G87" s="523"/>
      <x:c r="H87" s="523"/>
      <x:c r="I87" s="523"/>
      <x:c r="J87" s="523"/>
      <x:c r="K87" s="523"/>
      <x:c r="L87" s="523"/>
      <x:c r="M87" s="523"/>
      <x:c r="N87" s="523"/>
      <x:c r="O87" s="523"/>
      <x:c r="P87" s="523"/>
      <x:c r="Q87" s="523"/>
      <x:c r="R87" s="523"/>
      <x:c r="S87" s="523"/>
      <x:c r="T87" s="521" t="str">
        <x:f>IF(MAX(E87:S87)=0,"",SUM(E87,H87,K87,N87,Q87,R87))</x:f>
      </x:c>
      <x:c r="U87" s="521" t="str">
        <x:f>IF(MAX(E87:S87)=0,"",SUM(F87,I87,L87,O87))</x:f>
      </x:c>
      <x:c r="V87" s="521" t="str">
        <x:f>IF(MAX(E87:S87)=0,"",SUM(G87,J87,M87,P87))</x:f>
      </x:c>
      <x:c r="W87" s="521" t="str">
        <x:f>IF(MAX(E87:S87)=0,"",S87)</x:f>
      </x:c>
      <x:c r="X87" s="521" t="str">
        <x:f>IF(MAX(E87:S87)=0,"",SUM(T87:W87))</x:f>
      </x:c>
      <x:c r="Y87" s="524" t="str">
        <x:f>IF(MAX(E87:S87)=0,"",INDEX($E$5:$S$5,1,MATCH(MAX(E87:S87),E87:S87,0)))</x:f>
      </x:c>
    </x:row>
    <x:row r="88" ht="20" customHeight="1">
      <x:c r="A88" s="516"/>
      <x:c r="B88" s="522"/>
      <x:c r="C88" s="516"/>
      <x:c r="D88" s="520"/>
      <x:c r="E88" s="523"/>
      <x:c r="F88" s="523"/>
      <x:c r="G88" s="523"/>
      <x:c r="H88" s="523"/>
      <x:c r="I88" s="523"/>
      <x:c r="J88" s="523"/>
      <x:c r="K88" s="523"/>
      <x:c r="L88" s="523"/>
      <x:c r="M88" s="523"/>
      <x:c r="N88" s="523"/>
      <x:c r="O88" s="523"/>
      <x:c r="P88" s="523"/>
      <x:c r="Q88" s="523"/>
      <x:c r="R88" s="523"/>
      <x:c r="S88" s="523"/>
      <x:c r="T88" s="521" t="str">
        <x:f>IF(MAX(E88:S88)=0,"",SUM(E88,H88,K88,N88,Q88,R88))</x:f>
      </x:c>
      <x:c r="U88" s="521" t="str">
        <x:f>IF(MAX(E88:S88)=0,"",SUM(F88,I88,L88,O88))</x:f>
      </x:c>
      <x:c r="V88" s="521" t="str">
        <x:f>IF(MAX(E88:S88)=0,"",SUM(G88,J88,M88,P88))</x:f>
      </x:c>
      <x:c r="W88" s="521" t="str">
        <x:f>IF(MAX(E88:S88)=0,"",S88)</x:f>
      </x:c>
      <x:c r="X88" s="521" t="str">
        <x:f>IF(MAX(E88:S88)=0,"",SUM(T88:W88))</x:f>
      </x:c>
      <x:c r="Y88" s="524" t="str">
        <x:f>IF(MAX(E88:S88)=0,"",INDEX($E$5:$S$5,1,MATCH(MAX(E88:S88),E88:S88,0)))</x:f>
      </x:c>
    </x:row>
    <x:row r="89" ht="20" customHeight="1">
      <x:c r="A89" s="516"/>
      <x:c r="B89" s="522"/>
      <x:c r="C89" s="516"/>
      <x:c r="D89" s="520"/>
      <x:c r="E89" s="523"/>
      <x:c r="F89" s="523"/>
      <x:c r="G89" s="523"/>
      <x:c r="H89" s="523"/>
      <x:c r="I89" s="523"/>
      <x:c r="J89" s="523"/>
      <x:c r="K89" s="523"/>
      <x:c r="L89" s="523"/>
      <x:c r="M89" s="523"/>
      <x:c r="N89" s="523"/>
      <x:c r="O89" s="523"/>
      <x:c r="P89" s="523"/>
      <x:c r="Q89" s="523"/>
      <x:c r="R89" s="523"/>
      <x:c r="S89" s="523"/>
      <x:c r="T89" s="521" t="str">
        <x:f>IF(MAX(E89:S89)=0,"",SUM(E89,H89,K89,N89,Q89,R89))</x:f>
      </x:c>
      <x:c r="U89" s="521" t="str">
        <x:f>IF(MAX(E89:S89)=0,"",SUM(F89,I89,L89,O89))</x:f>
      </x:c>
      <x:c r="V89" s="521" t="str">
        <x:f>IF(MAX(E89:S89)=0,"",SUM(G89,J89,M89,P89))</x:f>
      </x:c>
      <x:c r="W89" s="521" t="str">
        <x:f>IF(MAX(E89:S89)=0,"",S89)</x:f>
      </x:c>
      <x:c r="X89" s="521" t="str">
        <x:f>IF(MAX(E89:S89)=0,"",SUM(T89:W89))</x:f>
      </x:c>
      <x:c r="Y89" s="524" t="str">
        <x:f>IF(MAX(E89:S89)=0,"",INDEX($E$5:$S$5,1,MATCH(MAX(E89:S89),E89:S89,0)))</x:f>
      </x:c>
    </x:row>
    <x:row r="90" ht="20" customHeight="1">
      <x:c r="A90" s="516"/>
      <x:c r="B90" s="522"/>
      <x:c r="C90" s="516"/>
      <x:c r="D90" s="520"/>
      <x:c r="E90" s="523"/>
      <x:c r="F90" s="523"/>
      <x:c r="G90" s="523"/>
      <x:c r="H90" s="523"/>
      <x:c r="I90" s="523"/>
      <x:c r="J90" s="523"/>
      <x:c r="K90" s="523"/>
      <x:c r="L90" s="523"/>
      <x:c r="M90" s="523"/>
      <x:c r="N90" s="523"/>
      <x:c r="O90" s="523"/>
      <x:c r="P90" s="523"/>
      <x:c r="Q90" s="523"/>
      <x:c r="R90" s="523"/>
      <x:c r="S90" s="523"/>
      <x:c r="T90" s="521" t="str">
        <x:f>IF(MAX(E90:S90)=0,"",SUM(E90,H90,K90,N90,Q90,R90))</x:f>
      </x:c>
      <x:c r="U90" s="521" t="str">
        <x:f>IF(MAX(E90:S90)=0,"",SUM(F90,I90,L90,O90))</x:f>
      </x:c>
      <x:c r="V90" s="521" t="str">
        <x:f>IF(MAX(E90:S90)=0,"",SUM(G90,J90,M90,P90))</x:f>
      </x:c>
      <x:c r="W90" s="521" t="str">
        <x:f>IF(MAX(E90:S90)=0,"",S90)</x:f>
      </x:c>
      <x:c r="X90" s="521" t="str">
        <x:f>IF(MAX(E90:S90)=0,"",SUM(T90:W90))</x:f>
      </x:c>
      <x:c r="Y90" s="524" t="str">
        <x:f>IF(MAX(E90:S90)=0,"",INDEX($E$5:$S$5,1,MATCH(MAX(E90:S90),E90:S90,0)))</x:f>
      </x:c>
    </x:row>
    <x:row r="91" ht="20" customHeight="1">
      <x:c r="A91" s="516"/>
      <x:c r="B91" s="522"/>
      <x:c r="C91" s="516"/>
      <x:c r="D91" s="520"/>
      <x:c r="E91" s="523"/>
      <x:c r="F91" s="523"/>
      <x:c r="G91" s="523"/>
      <x:c r="H91" s="523"/>
      <x:c r="I91" s="523"/>
      <x:c r="J91" s="523"/>
      <x:c r="K91" s="523"/>
      <x:c r="L91" s="523"/>
      <x:c r="M91" s="523"/>
      <x:c r="N91" s="523"/>
      <x:c r="O91" s="523"/>
      <x:c r="P91" s="523"/>
      <x:c r="Q91" s="523"/>
      <x:c r="R91" s="523"/>
      <x:c r="S91" s="523"/>
      <x:c r="T91" s="521" t="str">
        <x:f>IF(MAX(E91:S91)=0,"",SUM(E91,H91,K91,N91,Q91,R91))</x:f>
      </x:c>
      <x:c r="U91" s="521" t="str">
        <x:f>IF(MAX(E91:S91)=0,"",SUM(F91,I91,L91,O91))</x:f>
      </x:c>
      <x:c r="V91" s="521" t="str">
        <x:f>IF(MAX(E91:S91)=0,"",SUM(G91,J91,M91,P91))</x:f>
      </x:c>
      <x:c r="W91" s="521" t="str">
        <x:f>IF(MAX(E91:S91)=0,"",S91)</x:f>
      </x:c>
      <x:c r="X91" s="521" t="str">
        <x:f>IF(MAX(E91:S91)=0,"",SUM(T91:W91))</x:f>
      </x:c>
      <x:c r="Y91" s="524" t="str">
        <x:f>IF(MAX(E91:S91)=0,"",INDEX($E$5:$S$5,1,MATCH(MAX(E91:S91),E91:S91,0)))</x:f>
      </x:c>
    </x:row>
    <x:row r="92" ht="20" customHeight="1">
      <x:c r="A92" s="516"/>
      <x:c r="B92" s="522"/>
      <x:c r="C92" s="516"/>
      <x:c r="D92" s="520"/>
      <x:c r="E92" s="523"/>
      <x:c r="F92" s="523"/>
      <x:c r="G92" s="523"/>
      <x:c r="H92" s="523"/>
      <x:c r="I92" s="523"/>
      <x:c r="J92" s="523"/>
      <x:c r="K92" s="523"/>
      <x:c r="L92" s="523"/>
      <x:c r="M92" s="523"/>
      <x:c r="N92" s="523"/>
      <x:c r="O92" s="523"/>
      <x:c r="P92" s="523"/>
      <x:c r="Q92" s="523"/>
      <x:c r="R92" s="523"/>
      <x:c r="S92" s="523"/>
      <x:c r="T92" s="521" t="str">
        <x:f>IF(MAX(E92:S92)=0,"",SUM(E92,H92,K92,N92,Q92,R92))</x:f>
      </x:c>
      <x:c r="U92" s="521" t="str">
        <x:f>IF(MAX(E92:S92)=0,"",SUM(F92,I92,L92,O92))</x:f>
      </x:c>
      <x:c r="V92" s="521" t="str">
        <x:f>IF(MAX(E92:S92)=0,"",SUM(G92,J92,M92,P92))</x:f>
      </x:c>
      <x:c r="W92" s="521" t="str">
        <x:f>IF(MAX(E92:S92)=0,"",S92)</x:f>
      </x:c>
      <x:c r="X92" s="521" t="str">
        <x:f>IF(MAX(E92:S92)=0,"",SUM(T92:W92))</x:f>
      </x:c>
      <x:c r="Y92" s="524" t="str">
        <x:f>IF(MAX(E92:S92)=0,"",INDEX($E$5:$S$5,1,MATCH(MAX(E92:S92),E92:S92,0)))</x:f>
      </x:c>
    </x:row>
    <x:row r="93" ht="20" customHeight="1">
      <x:c r="A93" s="516"/>
      <x:c r="B93" s="522"/>
      <x:c r="C93" s="516"/>
      <x:c r="D93" s="520"/>
      <x:c r="E93" s="523"/>
      <x:c r="F93" s="523"/>
      <x:c r="G93" s="523"/>
      <x:c r="H93" s="523"/>
      <x:c r="I93" s="523"/>
      <x:c r="J93" s="523"/>
      <x:c r="K93" s="523"/>
      <x:c r="L93" s="523"/>
      <x:c r="M93" s="523"/>
      <x:c r="N93" s="523"/>
      <x:c r="O93" s="523"/>
      <x:c r="P93" s="523"/>
      <x:c r="Q93" s="523"/>
      <x:c r="R93" s="523"/>
      <x:c r="S93" s="523"/>
      <x:c r="T93" s="521" t="str">
        <x:f>IF(MAX(E93:S93)=0,"",SUM(E93,H93,K93,N93,Q93,R93))</x:f>
      </x:c>
      <x:c r="U93" s="521" t="str">
        <x:f>IF(MAX(E93:S93)=0,"",SUM(F93,I93,L93,O93))</x:f>
      </x:c>
      <x:c r="V93" s="521" t="str">
        <x:f>IF(MAX(E93:S93)=0,"",SUM(G93,J93,M93,P93))</x:f>
      </x:c>
      <x:c r="W93" s="521" t="str">
        <x:f>IF(MAX(E93:S93)=0,"",S93)</x:f>
      </x:c>
      <x:c r="X93" s="521" t="str">
        <x:f>IF(MAX(E93:S93)=0,"",SUM(T93:W93))</x:f>
      </x:c>
      <x:c r="Y93" s="524" t="str">
        <x:f>IF(MAX(E93:S93)=0,"",INDEX($E$5:$S$5,1,MATCH(MAX(E93:S93),E93:S93,0)))</x:f>
      </x:c>
    </x:row>
    <x:row r="94" ht="20" customHeight="1">
      <x:c r="A94" s="516"/>
      <x:c r="B94" s="522"/>
      <x:c r="C94" s="516"/>
      <x:c r="D94" s="520"/>
      <x:c r="E94" s="523"/>
      <x:c r="F94" s="523"/>
      <x:c r="G94" s="523"/>
      <x:c r="H94" s="523"/>
      <x:c r="I94" s="523"/>
      <x:c r="J94" s="523"/>
      <x:c r="K94" s="523"/>
      <x:c r="L94" s="523"/>
      <x:c r="M94" s="523"/>
      <x:c r="N94" s="523"/>
      <x:c r="O94" s="523"/>
      <x:c r="P94" s="523"/>
      <x:c r="Q94" s="523"/>
      <x:c r="R94" s="523"/>
      <x:c r="S94" s="523"/>
      <x:c r="T94" s="521" t="str">
        <x:f>IF(MAX(E94:S94)=0,"",SUM(E94,H94,K94,N94,Q94,R94))</x:f>
      </x:c>
      <x:c r="U94" s="521" t="str">
        <x:f>IF(MAX(E94:S94)=0,"",SUM(F94,I94,L94,O94))</x:f>
      </x:c>
      <x:c r="V94" s="521" t="str">
        <x:f>IF(MAX(E94:S94)=0,"",SUM(G94,J94,M94,P94))</x:f>
      </x:c>
      <x:c r="W94" s="521" t="str">
        <x:f>IF(MAX(E94:S94)=0,"",S94)</x:f>
      </x:c>
      <x:c r="X94" s="521" t="str">
        <x:f>IF(MAX(E94:S94)=0,"",SUM(T94:W94))</x:f>
      </x:c>
      <x:c r="Y94" s="524" t="str">
        <x:f>IF(MAX(E94:S94)=0,"",INDEX($E$5:$S$5,1,MATCH(MAX(E94:S94),E94:S94,0)))</x:f>
      </x:c>
    </x:row>
    <x:row r="95" ht="20" customHeight="1">
      <x:c r="A95" s="516"/>
      <x:c r="B95" s="522"/>
      <x:c r="C95" s="516"/>
      <x:c r="D95" s="520"/>
      <x:c r="E95" s="523"/>
      <x:c r="F95" s="523"/>
      <x:c r="G95" s="523"/>
      <x:c r="H95" s="523"/>
      <x:c r="I95" s="523"/>
      <x:c r="J95" s="523"/>
      <x:c r="K95" s="523"/>
      <x:c r="L95" s="523"/>
      <x:c r="M95" s="523"/>
      <x:c r="N95" s="523"/>
      <x:c r="O95" s="523"/>
      <x:c r="P95" s="523"/>
      <x:c r="Q95" s="523"/>
      <x:c r="R95" s="523"/>
      <x:c r="S95" s="523"/>
      <x:c r="T95" s="521" t="str">
        <x:f>IF(MAX(E95:S95)=0,"",SUM(E95,H95,K95,N95,Q95,R95))</x:f>
      </x:c>
      <x:c r="U95" s="521" t="str">
        <x:f>IF(MAX(E95:S95)=0,"",SUM(F95,I95,L95,O95))</x:f>
      </x:c>
      <x:c r="V95" s="521" t="str">
        <x:f>IF(MAX(E95:S95)=0,"",SUM(G95,J95,M95,P95))</x:f>
      </x:c>
      <x:c r="W95" s="521" t="str">
        <x:f>IF(MAX(E95:S95)=0,"",S95)</x:f>
      </x:c>
      <x:c r="X95" s="521" t="str">
        <x:f>IF(MAX(E95:S95)=0,"",SUM(T95:W95))</x:f>
      </x:c>
      <x:c r="Y95" s="524" t="str">
        <x:f>IF(MAX(E95:S95)=0,"",INDEX($E$5:$S$5,1,MATCH(MAX(E95:S95),E95:S95,0)))</x:f>
      </x:c>
    </x:row>
    <x:row r="96" ht="20" customHeight="1">
      <x:c r="A96" s="516"/>
      <x:c r="B96" s="522"/>
      <x:c r="C96" s="516"/>
      <x:c r="D96" s="520"/>
      <x:c r="E96" s="523"/>
      <x:c r="F96" s="523"/>
      <x:c r="G96" s="523"/>
      <x:c r="H96" s="523"/>
      <x:c r="I96" s="523"/>
      <x:c r="J96" s="523"/>
      <x:c r="K96" s="523"/>
      <x:c r="L96" s="523"/>
      <x:c r="M96" s="523"/>
      <x:c r="N96" s="523"/>
      <x:c r="O96" s="523"/>
      <x:c r="P96" s="523"/>
      <x:c r="Q96" s="523"/>
      <x:c r="R96" s="523"/>
      <x:c r="S96" s="523"/>
      <x:c r="T96" s="521" t="str">
        <x:f>IF(MAX(E96:S96)=0,"",SUM(E96,H96,K96,N96,Q96,R96))</x:f>
      </x:c>
      <x:c r="U96" s="521" t="str">
        <x:f>IF(MAX(E96:S96)=0,"",SUM(F96,I96,L96,O96))</x:f>
      </x:c>
      <x:c r="V96" s="521" t="str">
        <x:f>IF(MAX(E96:S96)=0,"",SUM(G96,J96,M96,P96))</x:f>
      </x:c>
      <x:c r="W96" s="521" t="str">
        <x:f>IF(MAX(E96:S96)=0,"",S96)</x:f>
      </x:c>
      <x:c r="X96" s="521" t="str">
        <x:f>IF(MAX(E96:S96)=0,"",SUM(T96:W96))</x:f>
      </x:c>
      <x:c r="Y96" s="524" t="str">
        <x:f>IF(MAX(E96:S96)=0,"",INDEX($E$5:$S$5,1,MATCH(MAX(E96:S96),E96:S96,0)))</x:f>
      </x:c>
    </x:row>
    <x:row r="97" ht="20" customHeight="1">
      <x:c r="A97" s="516"/>
      <x:c r="B97" s="522"/>
      <x:c r="C97" s="516"/>
      <x:c r="D97" s="520"/>
      <x:c r="E97" s="523"/>
      <x:c r="F97" s="523"/>
      <x:c r="G97" s="523"/>
      <x:c r="H97" s="523"/>
      <x:c r="I97" s="523"/>
      <x:c r="J97" s="523"/>
      <x:c r="K97" s="523"/>
      <x:c r="L97" s="523"/>
      <x:c r="M97" s="523"/>
      <x:c r="N97" s="523"/>
      <x:c r="O97" s="523"/>
      <x:c r="P97" s="523"/>
      <x:c r="Q97" s="523"/>
      <x:c r="R97" s="523"/>
      <x:c r="S97" s="523"/>
      <x:c r="T97" s="521" t="str">
        <x:f>IF(MAX(E97:S97)=0,"",SUM(E97,H97,K97,N97,Q97,R97))</x:f>
      </x:c>
      <x:c r="U97" s="521" t="str">
        <x:f>IF(MAX(E97:S97)=0,"",SUM(F97,I97,L97,O97))</x:f>
      </x:c>
      <x:c r="V97" s="521" t="str">
        <x:f>IF(MAX(E97:S97)=0,"",SUM(G97,J97,M97,P97))</x:f>
      </x:c>
      <x:c r="W97" s="521" t="str">
        <x:f>IF(MAX(E97:S97)=0,"",S97)</x:f>
      </x:c>
      <x:c r="X97" s="521" t="str">
        <x:f>IF(MAX(E97:S97)=0,"",SUM(T97:W97))</x:f>
      </x:c>
      <x:c r="Y97" s="524" t="str">
        <x:f>IF(MAX(E97:S97)=0,"",INDEX($E$5:$S$5,1,MATCH(MAX(E97:S97),E97:S97,0)))</x:f>
      </x:c>
    </x:row>
    <x:row r="98" ht="20" customHeight="1">
      <x:c r="A98" s="516"/>
      <x:c r="B98" s="522"/>
      <x:c r="C98" s="516"/>
      <x:c r="D98" s="520"/>
      <x:c r="E98" s="523"/>
      <x:c r="F98" s="523"/>
      <x:c r="G98" s="523"/>
      <x:c r="H98" s="523"/>
      <x:c r="I98" s="523"/>
      <x:c r="J98" s="523"/>
      <x:c r="K98" s="523"/>
      <x:c r="L98" s="523"/>
      <x:c r="M98" s="523"/>
      <x:c r="N98" s="523"/>
      <x:c r="O98" s="523"/>
      <x:c r="P98" s="523"/>
      <x:c r="Q98" s="523"/>
      <x:c r="R98" s="523"/>
      <x:c r="S98" s="523"/>
      <x:c r="T98" s="521" t="str">
        <x:f>IF(MAX(E98:S98)=0,"",SUM(E98,H98,K98,N98,Q98,R98))</x:f>
      </x:c>
      <x:c r="U98" s="521" t="str">
        <x:f>IF(MAX(E98:S98)=0,"",SUM(F98,I98,L98,O98))</x:f>
      </x:c>
      <x:c r="V98" s="521" t="str">
        <x:f>IF(MAX(E98:S98)=0,"",SUM(G98,J98,M98,P98))</x:f>
      </x:c>
      <x:c r="W98" s="521" t="str">
        <x:f>IF(MAX(E98:S98)=0,"",S98)</x:f>
      </x:c>
      <x:c r="X98" s="521" t="str">
        <x:f>IF(MAX(E98:S98)=0,"",SUM(T98:W98))</x:f>
      </x:c>
      <x:c r="Y98" s="524" t="str">
        <x:f>IF(MAX(E98:S98)=0,"",INDEX($E$5:$S$5,1,MATCH(MAX(E98:S98),E98:S98,0)))</x:f>
      </x:c>
    </x:row>
    <x:row r="99" ht="20" customHeight="1">
      <x:c r="A99" s="516"/>
      <x:c r="B99" s="522"/>
      <x:c r="C99" s="516"/>
      <x:c r="D99" s="520"/>
      <x:c r="E99" s="523"/>
      <x:c r="F99" s="523"/>
      <x:c r="G99" s="523"/>
      <x:c r="H99" s="523"/>
      <x:c r="I99" s="523"/>
      <x:c r="J99" s="523"/>
      <x:c r="K99" s="523"/>
      <x:c r="L99" s="523"/>
      <x:c r="M99" s="523"/>
      <x:c r="N99" s="523"/>
      <x:c r="O99" s="523"/>
      <x:c r="P99" s="523"/>
      <x:c r="Q99" s="523"/>
      <x:c r="R99" s="523"/>
      <x:c r="S99" s="523"/>
      <x:c r="T99" s="521" t="str">
        <x:f>IF(MAX(E99:S99)=0,"",SUM(E99,H99,K99,N99,Q99,R99))</x:f>
      </x:c>
      <x:c r="U99" s="521" t="str">
        <x:f>IF(MAX(E99:S99)=0,"",SUM(F99,I99,L99,O99))</x:f>
      </x:c>
      <x:c r="V99" s="521" t="str">
        <x:f>IF(MAX(E99:S99)=0,"",SUM(G99,J99,M99,P99))</x:f>
      </x:c>
      <x:c r="W99" s="521" t="str">
        <x:f>IF(MAX(E99:S99)=0,"",S99)</x:f>
      </x:c>
      <x:c r="X99" s="521" t="str">
        <x:f>IF(MAX(E99:S99)=0,"",SUM(T99:W99))</x:f>
      </x:c>
      <x:c r="Y99" s="524" t="str">
        <x:f>IF(MAX(E99:S99)=0,"",INDEX($E$5:$S$5,1,MATCH(MAX(E99:S99),E99:S99,0)))</x:f>
      </x:c>
    </x:row>
    <x:row r="100" ht="20" customHeight="1">
      <x:c r="A100" s="516"/>
      <x:c r="B100" s="522"/>
      <x:c r="C100" s="516"/>
      <x:c r="D100" s="520"/>
      <x:c r="E100" s="523"/>
      <x:c r="F100" s="523"/>
      <x:c r="G100" s="523"/>
      <x:c r="H100" s="523"/>
      <x:c r="I100" s="523"/>
      <x:c r="J100" s="523"/>
      <x:c r="K100" s="523"/>
      <x:c r="L100" s="523"/>
      <x:c r="M100" s="523"/>
      <x:c r="N100" s="523"/>
      <x:c r="O100" s="523"/>
      <x:c r="P100" s="523"/>
      <x:c r="Q100" s="523"/>
      <x:c r="R100" s="523"/>
      <x:c r="S100" s="523"/>
      <x:c r="T100" s="521" t="str">
        <x:f>IF(MAX(E100:S100)=0,"",SUM(E100,H100,K100,N100,Q100,R100))</x:f>
      </x:c>
      <x:c r="U100" s="521" t="str">
        <x:f>IF(MAX(E100:S100)=0,"",SUM(F100,I100,L100,O100))</x:f>
      </x:c>
      <x:c r="V100" s="521" t="str">
        <x:f>IF(MAX(E100:S100)=0,"",SUM(G100,J100,M100,P100))</x:f>
      </x:c>
      <x:c r="W100" s="521" t="str">
        <x:f>IF(MAX(E100:S100)=0,"",S100)</x:f>
      </x:c>
      <x:c r="X100" s="521" t="str">
        <x:f>IF(MAX(E100:S100)=0,"",SUM(T100:W100))</x:f>
      </x:c>
      <x:c r="Y100" s="524" t="str">
        <x:f>IF(MAX(E100:S100)=0,"",INDEX($E$5:$S$5,1,MATCH(MAX(E100:S100),E100:S100,0)))</x:f>
      </x:c>
    </x:row>
    <x:row r="101" ht="20" customHeight="1">
      <x:c r="A101" s="516"/>
      <x:c r="B101" s="522"/>
      <x:c r="C101" s="516"/>
      <x:c r="D101" s="520"/>
      <x:c r="E101" s="523"/>
      <x:c r="F101" s="523"/>
      <x:c r="G101" s="523"/>
      <x:c r="H101" s="523"/>
      <x:c r="I101" s="523"/>
      <x:c r="J101" s="523"/>
      <x:c r="K101" s="523"/>
      <x:c r="L101" s="523"/>
      <x:c r="M101" s="523"/>
      <x:c r="N101" s="523"/>
      <x:c r="O101" s="523"/>
      <x:c r="P101" s="523"/>
      <x:c r="Q101" s="523"/>
      <x:c r="R101" s="523"/>
      <x:c r="S101" s="523"/>
      <x:c r="T101" s="521" t="str">
        <x:f>IF(MAX(E101:S101)=0,"",SUM(E101,H101,K101,N101,Q101,R101))</x:f>
      </x:c>
      <x:c r="U101" s="521" t="str">
        <x:f>IF(MAX(E101:S101)=0,"",SUM(F101,I101,L101,O101))</x:f>
      </x:c>
      <x:c r="V101" s="521" t="str">
        <x:f>IF(MAX(E101:S101)=0,"",SUM(G101,J101,M101,P101))</x:f>
      </x:c>
      <x:c r="W101" s="521" t="str">
        <x:f>IF(MAX(E101:S101)=0,"",S101)</x:f>
      </x:c>
      <x:c r="X101" s="521" t="str">
        <x:f>IF(MAX(E101:S101)=0,"",SUM(T101:W101))</x:f>
      </x:c>
      <x:c r="Y101" s="524" t="str">
        <x:f>IF(MAX(E101:S101)=0,"",INDEX($E$5:$S$5,1,MATCH(MAX(E101:S101),E101:S101,0)))</x:f>
      </x:c>
    </x:row>
    <x:row r="102" ht="20" customHeight="1">
      <x:c r="A102" s="516"/>
      <x:c r="B102" s="522"/>
      <x:c r="C102" s="516"/>
      <x:c r="D102" s="520"/>
      <x:c r="E102" s="523"/>
      <x:c r="F102" s="523"/>
      <x:c r="G102" s="523"/>
      <x:c r="H102" s="523"/>
      <x:c r="I102" s="523"/>
      <x:c r="J102" s="523"/>
      <x:c r="K102" s="523"/>
      <x:c r="L102" s="523"/>
      <x:c r="M102" s="523"/>
      <x:c r="N102" s="523"/>
      <x:c r="O102" s="523"/>
      <x:c r="P102" s="523"/>
      <x:c r="Q102" s="523"/>
      <x:c r="R102" s="523"/>
      <x:c r="S102" s="523"/>
      <x:c r="T102" s="521" t="str">
        <x:f>IF(MAX(E102:S102)=0,"",SUM(E102,H102,K102,N102,Q102,R102))</x:f>
      </x:c>
      <x:c r="U102" s="521" t="str">
        <x:f>IF(MAX(E102:S102)=0,"",SUM(F102,I102,L102,O102))</x:f>
      </x:c>
      <x:c r="V102" s="521" t="str">
        <x:f>IF(MAX(E102:S102)=0,"",SUM(G102,J102,M102,P102))</x:f>
      </x:c>
      <x:c r="W102" s="521" t="str">
        <x:f>IF(MAX(E102:S102)=0,"",S102)</x:f>
      </x:c>
      <x:c r="X102" s="521" t="str">
        <x:f>IF(MAX(E102:S102)=0,"",SUM(T102:W102))</x:f>
      </x:c>
      <x:c r="Y102" s="524" t="str">
        <x:f>IF(MAX(E102:S102)=0,"",INDEX($E$5:$S$5,1,MATCH(MAX(E102:S102),E102:S102,0)))</x:f>
      </x:c>
    </x:row>
    <x:row r="103" ht="20" customHeight="1">
      <x:c r="A103" s="516"/>
      <x:c r="B103" s="522"/>
      <x:c r="C103" s="516"/>
      <x:c r="D103" s="520"/>
      <x:c r="E103" s="523"/>
      <x:c r="F103" s="523"/>
      <x:c r="G103" s="523"/>
      <x:c r="H103" s="523"/>
      <x:c r="I103" s="523"/>
      <x:c r="J103" s="523"/>
      <x:c r="K103" s="523"/>
      <x:c r="L103" s="523"/>
      <x:c r="M103" s="523"/>
      <x:c r="N103" s="523"/>
      <x:c r="O103" s="523"/>
      <x:c r="P103" s="523"/>
      <x:c r="Q103" s="523"/>
      <x:c r="R103" s="523"/>
      <x:c r="S103" s="523"/>
      <x:c r="T103" s="521" t="str">
        <x:f>IF(MAX(E103:S103)=0,"",SUM(E103,H103,K103,N103,Q103,R103))</x:f>
      </x:c>
      <x:c r="U103" s="521" t="str">
        <x:f>IF(MAX(E103:S103)=0,"",SUM(F103,I103,L103,O103))</x:f>
      </x:c>
      <x:c r="V103" s="521" t="str">
        <x:f>IF(MAX(E103:S103)=0,"",SUM(G103,J103,M103,P103))</x:f>
      </x:c>
      <x:c r="W103" s="521" t="str">
        <x:f>IF(MAX(E103:S103)=0,"",S103)</x:f>
      </x:c>
      <x:c r="X103" s="521" t="str">
        <x:f>IF(MAX(E103:S103)=0,"",SUM(T103:W103))</x:f>
      </x:c>
      <x:c r="Y103" s="524" t="str">
        <x:f>IF(MAX(E103:S103)=0,"",INDEX($E$5:$S$5,1,MATCH(MAX(E103:S103),E103:S103,0)))</x:f>
      </x:c>
    </x:row>
    <x:row r="104" ht="20" customHeight="1">
      <x:c r="A104" s="516"/>
      <x:c r="B104" s="522"/>
      <x:c r="C104" s="516"/>
      <x:c r="D104" s="520"/>
      <x:c r="E104" s="523"/>
      <x:c r="F104" s="523"/>
      <x:c r="G104" s="523"/>
      <x:c r="H104" s="523"/>
      <x:c r="I104" s="523"/>
      <x:c r="J104" s="523"/>
      <x:c r="K104" s="523"/>
      <x:c r="L104" s="523"/>
      <x:c r="M104" s="523"/>
      <x:c r="N104" s="523"/>
      <x:c r="O104" s="523"/>
      <x:c r="P104" s="523"/>
      <x:c r="Q104" s="523"/>
      <x:c r="R104" s="523"/>
      <x:c r="S104" s="523"/>
      <x:c r="T104" s="521" t="str">
        <x:f>IF(MAX(E104:S104)=0,"",SUM(E104,H104,K104,N104,Q104,R104))</x:f>
      </x:c>
      <x:c r="U104" s="521" t="str">
        <x:f>IF(MAX(E104:S104)=0,"",SUM(F104,I104,L104,O104))</x:f>
      </x:c>
      <x:c r="V104" s="521" t="str">
        <x:f>IF(MAX(E104:S104)=0,"",SUM(G104,J104,M104,P104))</x:f>
      </x:c>
      <x:c r="W104" s="521" t="str">
        <x:f>IF(MAX(E104:S104)=0,"",S104)</x:f>
      </x:c>
      <x:c r="X104" s="521" t="str">
        <x:f>IF(MAX(E104:S104)=0,"",SUM(T104:W104))</x:f>
      </x:c>
      <x:c r="Y104" s="524" t="str">
        <x:f>IF(MAX(E104:S104)=0,"",INDEX($E$5:$S$5,1,MATCH(MAX(E104:S104),E104:S104,0)))</x:f>
      </x:c>
    </x:row>
    <x:row r="105" ht="20" customHeight="1">
      <x:c r="A105" s="516"/>
      <x:c r="B105" s="522"/>
      <x:c r="C105" s="516"/>
      <x:c r="D105" s="520"/>
      <x:c r="E105" s="523"/>
      <x:c r="F105" s="523"/>
      <x:c r="G105" s="523"/>
      <x:c r="H105" s="523"/>
      <x:c r="I105" s="523"/>
      <x:c r="J105" s="523"/>
      <x:c r="K105" s="523"/>
      <x:c r="L105" s="523"/>
      <x:c r="M105" s="523"/>
      <x:c r="N105" s="523"/>
      <x:c r="O105" s="523"/>
      <x:c r="P105" s="523"/>
      <x:c r="Q105" s="523"/>
      <x:c r="R105" s="523"/>
      <x:c r="S105" s="523"/>
      <x:c r="T105" s="521" t="str">
        <x:f>IF(MAX(E105:S105)=0,"",SUM(E105,H105,K105,N105,Q105,R105))</x:f>
      </x:c>
      <x:c r="U105" s="521" t="str">
        <x:f>IF(MAX(E105:S105)=0,"",SUM(F105,I105,L105,O105))</x:f>
      </x:c>
      <x:c r="V105" s="521" t="str">
        <x:f>IF(MAX(E105:S105)=0,"",SUM(G105,J105,M105,P105))</x:f>
      </x:c>
      <x:c r="W105" s="521" t="str">
        <x:f>IF(MAX(E105:S105)=0,"",S105)</x:f>
      </x:c>
      <x:c r="X105" s="521" t="str">
        <x:f>IF(MAX(E105:S105)=0,"",SUM(T105:W105))</x:f>
      </x:c>
      <x:c r="Y105" s="524" t="str">
        <x:f>IF(MAX(E105:S105)=0,"",INDEX($E$5:$S$5,1,MATCH(MAX(E105:S105),E105:S105,0)))</x:f>
      </x:c>
    </x:row>
  </x:sheetData>
  <x:mergeCells>
    <x:mergeCell ref="A1:Y1"/>
    <x:mergeCell ref="A2:Y2"/>
    <x:mergeCell ref="A3:Y3"/>
  </x:mergeCells>
  <x:conditionalFormatting sqref="E6:S105">
    <x:cfRule type="cellIs" dxfId="14" priority="1" operator="lessThan">
      <x:formula>0</x:formula>
    </x:cfRule>
  </x:conditionalFormatting>
  <x:dataValidations count="2">
    <x:dataValidation type="list" allowBlank="1" showDropDown="0" sqref="C6:C105">
      <x:formula1>Definitions!$F$2:$F$4</x:formula1>
    </x:dataValidation>
    <x:dataValidation type="decimal" errorStyle="stop" operator="between" allowBlank="1" showErrorMessage="1" errorTitle="Invalid value" error="Enter a duration of 0 or greater." sqref="E6:S105">
      <x:formula1>0</x:formula1>
      <x:formula2>1000000000000</x:formula2>
    </x:dataValidation>
  </x:dataValidations>
  <x:pageMargins left="0.7" right="0.7" top="0.75" bottom="0.75" header="0.3" footer="0.3"/>
  <x:legacyDrawing xmlns:r="http://schemas.openxmlformats.org/officeDocument/2006/relationships" r:id="R496d2bf1f5874a0b"/>
  <x:tableParts count="1">
    <x:tablePart xmlns:r="http://schemas.openxmlformats.org/officeDocument/2006/relationships" r:id="R3ae0b84fb740456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62" hidden="0" customWidth="1"/>
    <x:col min="3" max="3" width="65" hidden="0" customWidth="1"/>
    <x:col min="5" max="5" width="28" hidden="0" customWidth="1"/>
    <x:col min="6" max="6" width="24" hidden="0" customWidth="1"/>
  </x:cols>
  <x:sheetData>
    <x:row r="1" ht="30" customHeight="1">
      <x:c r="A1" s="190" t="str">
        <x:v>Configure to WIN | Quote Turnaround Time Measurement Template</x:v>
      </x:c>
      <x:c r="B1" s="190"/>
      <x:c r="C1" s="190"/>
      <x:c r="E1" s="510" t="str">
        <x:v>Validation list — Primary delay reason</x:v>
      </x:c>
      <x:c r="F1" s="510" t="str">
        <x:v>Validation list — Time unit</x:v>
      </x:c>
    </x:row>
    <x:row r="2" ht="24" customHeight="1">
      <x:c r="A2" s="195" t="str">
        <x:v>Definitions and calculation guidance for measuring active processing time, waiting, rework, release lag and total turnaround time.</x:v>
      </x:c>
      <x:c r="B2" s="195"/>
      <x:c r="C2" s="195"/>
      <x:c r="E2" s="512" t="str">
        <x:v>Missing inputs</x:v>
      </x:c>
      <x:c r="F2" s="512" t="str">
        <x:v>Minutes</x:v>
      </x:c>
    </x:row>
    <x:row r="3" ht="30" customHeight="1">
      <x:c r="A3" s="200" t="str">
        <x:v>Use consistent definitions across every quote in the same sample. Worked examples are illustrative and are not benchmarks or advice.</x:v>
      </x:c>
      <x:c r="B3" s="200"/>
      <x:c r="C3" s="200"/>
      <x:c r="E3" s="512" t="str">
        <x:v>Product, price or cost data</x:v>
      </x:c>
      <x:c r="F3" s="512" t="str">
        <x:v>Hours</x:v>
      </x:c>
    </x:row>
    <x:row r="4">
      <x:c r="A4"/>
      <x:c r="B4"/>
      <x:c r="C4"/>
      <x:c r="E4" s="512" t="str">
        <x:v>Validation clarification</x:v>
      </x:c>
      <x:c r="F4" s="512" t="str">
        <x:v>Business days</x:v>
      </x:c>
    </x:row>
    <x:row r="5" ht="24" customHeight="1">
      <x:c r="A5" s="204" t="str">
        <x:v>Core metrics</x:v>
      </x:c>
      <x:c r="B5" s="204"/>
      <x:c r="C5" s="204"/>
      <x:c r="E5" s="512" t="str">
        <x:v>Approval waiting</x:v>
      </x:c>
    </x:row>
    <x:row r="6" ht="30" customHeight="1">
      <x:c r="A6" s="216" t="str">
        <x:v>Term</x:v>
      </x:c>
      <x:c r="B6" s="217" t="str">
        <x:v>Definition</x:v>
      </x:c>
      <x:c r="C6" s="218" t="str">
        <x:v>Measurement guidance</x:v>
      </x:c>
      <x:c r="E6" s="512" t="str">
        <x:v>Rework</x:v>
      </x:c>
    </x:row>
    <x:row r="7" ht="46" customHeight="1">
      <x:c r="A7" s="499" t="str">
        <x:v>Total turnaround time</x:v>
      </x:c>
      <x:c r="B7" s="500" t="str">
        <x:v>The complete elapsed time required to move a quote from the initial request to customer-ready release.</x:v>
      </x:c>
      <x:c r="C7" s="501" t="str">
        <x:v>Measure the full duration, including active work, waiting, rework and release lag.</x:v>
      </x:c>
      <x:c r="E7" s="512" t="str">
        <x:v>Release lag</x:v>
      </x:c>
    </x:row>
    <x:row r="8" ht="46" customHeight="1">
      <x:c r="A8" s="502" t="str">
        <x:v>Active processing time</x:v>
      </x:c>
      <x:c r="B8" s="503" t="str">
        <x:v>Hands-on work required to prepare, calculate, validate, approve and release the quote.</x:v>
      </x:c>
      <x:c r="C8" s="504" t="str">
        <x:v>Include only time during which someone is actively progressing the quote.</x:v>
      </x:c>
      <x:c r="E8" s="512" t="str">
        <x:v>Other</x:v>
      </x:c>
    </x:row>
    <x:row r="9" ht="46" customHeight="1">
      <x:c r="A9" s="502" t="str">
        <x:v>Waiting time</x:v>
      </x:c>
      <x:c r="B9" s="503" t="str">
        <x:v>Elapsed delay while the quote cannot progress because information, clarification or an approval decision is still required.</x:v>
      </x:c>
      <x:c r="C9" s="504" t="str">
        <x:v>Include internal and external waiting that blocks the next stage.</x:v>
      </x:c>
    </x:row>
    <x:row r="10" ht="46" customHeight="1">
      <x:c r="A10" s="502" t="str">
        <x:v>Rework time</x:v>
      </x:c>
      <x:c r="B10" s="503" t="str">
        <x:v>Repeated work caused by missing inputs, corrections, validation issues or approver feedback.</x:v>
      </x:c>
      <x:c r="C10" s="504" t="str">
        <x:v>Record work that would not have been necessary if the quote had been correct and complete the first time.</x:v>
      </x:c>
    </x:row>
    <x:row r="11" ht="46" customHeight="1">
      <x:c r="A11" s="502" t="str">
        <x:v>Release lag</x:v>
      </x:c>
      <x:c r="B11" s="503" t="str">
        <x:v>Elapsed time between approval and the actual customer-ready release of the quote.</x:v>
      </x:c>
      <x:c r="C11" s="504" t="str">
        <x:v>Keep this separate from active document preparation and final checks.</x:v>
      </x:c>
    </x:row>
    <x:row r="12" ht="46" customHeight="1">
      <x:c r="A12" s="502" t="str">
        <x:v>Elapsed time</x:v>
      </x:c>
      <x:c r="B12" s="503" t="str">
        <x:v>The complete clock time between two milestones.</x:v>
      </x:c>
      <x:c r="C12" s="504" t="str">
        <x:v>Elapsed time can include nights, weekends and periods in which nobody is actively working.</x:v>
      </x:c>
    </x:row>
    <x:row r="13" ht="46" customHeight="1">
      <x:c r="A13" s="502" t="str">
        <x:v>Business hours</x:v>
      </x:c>
      <x:c r="B13" s="503" t="str">
        <x:v>Time measured only during the organisation’s selected working schedule.</x:v>
      </x:c>
      <x:c r="C13" s="504" t="str">
        <x:v>The template does not automatically remove nights, weekends or holidays.</x:v>
      </x:c>
    </x:row>
    <x:row r="14" ht="46" customHeight="1">
      <x:c r="A14" s="505" t="str">
        <x:v>Business day</x:v>
      </x:c>
      <x:c r="B14" s="506" t="str">
        <x:v>A measurement unit equal to eight hours in the Configure to WIN calculator.</x:v>
      </x:c>
      <x:c r="C14" s="507" t="str">
        <x:v>One business day is treated as eight hours; it is not a calendar-aware scheduling calculation.</x:v>
      </x:c>
    </x:row>
    <x:row r="15">
      <x:c r="A15"/>
      <x:c r="B15"/>
      <x:c r="C15"/>
    </x:row>
    <x:row r="16" ht="24" customHeight="1">
      <x:c r="A16" s="204" t="str">
        <x:v>Process stages</x:v>
      </x:c>
      <x:c r="B16" s="204"/>
      <x:c r="C16" s="204"/>
    </x:row>
    <x:row r="17" ht="30" customHeight="1">
      <x:c r="A17" s="216" t="str">
        <x:v>Stage</x:v>
      </x:c>
      <x:c r="B17" s="217" t="str">
        <x:v>Definition</x:v>
      </x:c>
      <x:c r="C17" s="218" t="str">
        <x:v>Typical measurements</x:v>
      </x:c>
    </x:row>
    <x:row r="18" ht="48" customHeight="1">
      <x:c r="A18" s="499" t="str">
        <x:v>Preparation</x:v>
      </x:c>
      <x:c r="B18" s="500" t="str">
        <x:v>Time spent gathering and completing the inputs required to start the quote.</x:v>
      </x:c>
      <x:c r="C18" s="501" t="str">
        <x:v>Active preparation, waiting for complete inputs and input-related rework.</x:v>
      </x:c>
    </x:row>
    <x:row r="19" ht="48" customHeight="1">
      <x:c r="A19" s="502" t="str">
        <x:v>Commercial calculation</x:v>
      </x:c>
      <x:c r="B19" s="503" t="str">
        <x:v>Time spent finding product, price and cost data and calculating the commercial outcome.</x:v>
      </x:c>
      <x:c r="C19" s="504" t="str">
        <x:v>Active calculation, waiting for data and recalculation or correction.</x:v>
      </x:c>
    </x:row>
    <x:row r="20" ht="48" customHeight="1">
      <x:c r="A20" s="502" t="str">
        <x:v>Validation</x:v>
      </x:c>
      <x:c r="B20" s="503" t="str">
        <x:v>Time spent checking completeness, commercial rules and exceptions.</x:v>
      </x:c>
      <x:c r="C20" s="504" t="str">
        <x:v>Active validation, waiting for clarification and correction of validation issues.</x:v>
      </x:c>
    </x:row>
    <x:row r="21" ht="48" customHeight="1">
      <x:c r="A21" s="502" t="str">
        <x:v>Approval</x:v>
      </x:c>
      <x:c r="B21" s="503" t="str">
        <x:v>Time spent preparing approval context, waiting for a decision and correcting issues raised during review.</x:v>
      </x:c>
      <x:c r="C21" s="504" t="str">
        <x:v>Approval preparation, approval waiting and rework after approver feedback.</x:v>
      </x:c>
    </x:row>
    <x:row r="22" ht="48" customHeight="1">
      <x:c r="A22" s="505" t="str">
        <x:v>Customer-ready release</x:v>
      </x:c>
      <x:c r="B22" s="506" t="str">
        <x:v>Time spent creating the final output, completing final checks and releasing the approved quote.</x:v>
      </x:c>
      <x:c r="C22" s="507" t="str">
        <x:v>Output preparation, final checks and delay between approval and release.</x:v>
      </x:c>
    </x:row>
    <x:row r="23">
      <x:c r="A23"/>
      <x:c r="B23"/>
      <x:c r="C23"/>
    </x:row>
    <x:row r="24" ht="24" customHeight="1">
      <x:c r="A24" s="204" t="str">
        <x:v>How to measure</x:v>
      </x:c>
      <x:c r="B24" s="204"/>
      <x:c r="C24" s="204"/>
    </x:row>
    <x:row r="25" ht="24" customHeight="1">
      <x:c r="A25" s="255" t="str">
        <x:v>Measure one representative quote</x:v>
      </x:c>
      <x:c r="B25" s="256"/>
      <x:c r="C25" s="257"/>
    </x:row>
    <x:row r="26" ht="28" customHeight="1">
      <x:c r="A26" s="258" t="str">
        <x:v>Select one recent complex quote and reconstruct the time spent in each stage. Use actual timestamps where available and distinguish hands-on work from elapsed waiting.</x:v>
      </x:c>
      <x:c r="B26" s="242"/>
      <x:c r="C26" s="243"/>
    </x:row>
    <x:row r="27" ht="28" customHeight="1">
      <x:c r="A27" s="259"/>
      <x:c r="B27" s="248"/>
      <x:c r="C27" s="249"/>
    </x:row>
    <x:row r="28">
      <x:c r="A28"/>
      <x:c r="B28"/>
      <x:c r="C28"/>
    </x:row>
    <x:row r="29" ht="24" customHeight="1">
      <x:c r="A29" s="255" t="str">
        <x:v>Measure an average from a sample</x:v>
      </x:c>
      <x:c r="B29" s="256"/>
      <x:c r="C29" s="257"/>
    </x:row>
    <x:row r="30" ht="28" customHeight="1">
      <x:c r="A30" s="258" t="str">
        <x:v>Record multiple comparable quotes using the same definitions. Calculate averages only after checking that each quote follows a sufficiently similar process and complexity profile.</x:v>
      </x:c>
      <x:c r="B30" s="242"/>
      <x:c r="C30" s="243"/>
    </x:row>
    <x:row r="31" ht="28" customHeight="1">
      <x:c r="A31" s="259"/>
      <x:c r="B31" s="248"/>
      <x:c r="C31" s="249"/>
    </x:row>
    <x:row r="32">
      <x:c r="A32"/>
      <x:c r="B32"/>
      <x:c r="C32"/>
    </x:row>
    <x:row r="33" ht="24" customHeight="1">
      <x:c r="A33" s="255" t="str">
        <x:v>Avoid double counting</x:v>
      </x:c>
      <x:c r="B33" s="256"/>
      <x:c r="C33" s="257"/>
    </x:row>
    <x:row r="34" ht="28" customHeight="1">
      <x:c r="A34" s="258" t="str">
        <x:v>Assign each duration to one category and stage. Do not count the same delay as both waiting time and rework time.</x:v>
      </x:c>
      <x:c r="B34" s="242"/>
      <x:c r="C34" s="243"/>
    </x:row>
    <x:row r="35" ht="28" customHeight="1">
      <x:c r="A35" s="259"/>
      <x:c r="B35" s="248"/>
      <x:c r="C35" s="249"/>
    </x:row>
    <x:row r="36">
      <x:c r="A36"/>
      <x:c r="B36"/>
      <x:c r="C36"/>
    </x:row>
    <x:row r="37" ht="24" customHeight="1">
      <x:c r="A37" s="255" t="str">
        <x:v>Use consistent units</x:v>
      </x:c>
      <x:c r="B37" s="256"/>
      <x:c r="C37" s="257"/>
    </x:row>
    <x:row r="38" ht="28" customHeight="1">
      <x:c r="A38" s="258" t="str">
        <x:v>Use one time unit for every input within a calculator row. Convert values before comparing or aggregating rows that use different units.</x:v>
      </x:c>
      <x:c r="B38" s="242"/>
      <x:c r="C38" s="243"/>
    </x:row>
    <x:row r="39" ht="28" customHeight="1">
      <x:c r="A39" s="259"/>
      <x:c r="B39" s="248"/>
      <x:c r="C39" s="249"/>
    </x:row>
    <x:row r="40">
      <x:c r="A40"/>
      <x:c r="B40"/>
      <x:c r="C40"/>
    </x:row>
    <x:row r="41">
      <x:c r="A41"/>
      <x:c r="B41"/>
      <x:c r="C41"/>
    </x:row>
    <x:row r="42" ht="24" customHeight="1">
      <x:c r="A42" s="204" t="str">
        <x:v>Why this workbook does not provide an industry benchmark</x:v>
      </x:c>
      <x:c r="B42" s="204"/>
      <x:c r="C42" s="204"/>
    </x:row>
    <x:row r="43" ht="26" customHeight="1">
      <x:c r="A43" s="280" t="str">
        <x:v>The workbook measures the user’s own quote process. It does not compare results with other companies, industries or unsupported target values. Quote complexity, working calendars, approval policies and process definitions can differ substantially between organisations.</x:v>
      </x:c>
      <x:c r="B43" s="281"/>
      <x:c r="C43" s="282"/>
    </x:row>
    <x:row r="44" ht="26" customHeight="1">
      <x:c r="A44" s="283"/>
      <x:c r="B44" s="284"/>
      <x:c r="C44" s="285"/>
    </x:row>
    <x:row r="45" ht="26" customHeight="1">
      <x:c r="A45" s="283"/>
      <x:c r="B45" s="284"/>
      <x:c r="C45" s="285"/>
    </x:row>
    <x:row r="46" ht="26" customHeight="1">
      <x:c r="A46" s="286"/>
      <x:c r="B46" s="287"/>
      <x:c r="C46" s="288"/>
    </x:row>
    <x:row r="48" ht="24" customHeight="1">
      <x:c r="A48" s="204" t="str">
        <x:v>Configure to WIN resources</x:v>
      </x:c>
      <x:c r="B48" s="204"/>
      <x:c r="C48" s="204"/>
    </x:row>
    <x:row r="49">
      <x:c r="A49" s="291" t="str">
        <x:v>Online calculator</x:v>
      </x:c>
      <x:c r="B49" s="298" t="str">
        <x:v>https://configure.win/resources/quote-turnaround-time-calculator</x:v>
      </x:c>
      <x:c r="C49" s="299"/>
    </x:row>
    <x:row r="50">
      <x:c r="A50" s="292" t="str">
        <x:v>Quote turnaround time guide</x:v>
      </x:c>
      <x:c r="B50" s="300" t="str">
        <x:v>https://configure.win/quote-turnaround-time</x:v>
      </x:c>
      <x:c r="C50" s="301"/>
    </x:row>
    <x:row r="52" ht="24" customHeight="1">
      <x:c r="A52" s="204" t="str">
        <x:v>About this workbook</x:v>
      </x:c>
      <x:c r="B52" s="204"/>
      <x:c r="C52" s="204"/>
    </x:row>
    <x:row r="53">
      <x:c r="A53" s="304" t="str">
        <x:v>Tool</x:v>
      </x:c>
      <x:c r="B53" s="307" t="str">
        <x:v>Quote Turnaround Time Measurement Template</x:v>
      </x:c>
      <x:c r="C53" s="308"/>
    </x:row>
    <x:row r="54">
      <x:c r="A54" s="304" t="str">
        <x:v>Version</x:v>
      </x:c>
      <x:c r="B54" s="307" t="str">
        <x:v>1.0.0</x:v>
      </x:c>
      <x:c r="C54" s="308"/>
    </x:row>
    <x:row r="55">
      <x:c r="A55" s="304" t="str">
        <x:v>Publisher</x:v>
      </x:c>
      <x:c r="B55" s="307" t="str">
        <x:v>Configure to WIN</x:v>
      </x:c>
      <x:c r="C55" s="308"/>
    </x:row>
    <x:row r="56">
      <x:c r="A56" s="304" t="str">
        <x:v>Official online version</x:v>
      </x:c>
      <x:c r="B56" s="311" t="str">
        <x:v>https://configure.win/resources/quote-turnaround-time-calculator</x:v>
      </x:c>
      <x:c r="C56" s="312"/>
    </x:row>
    <x:row r="57">
      <x:c r="A57" s="304" t="str">
        <x:v>Last updated</x:v>
      </x:c>
      <x:c r="B57" s="307" t="str">
        <x:v>25 July 2026</x:v>
      </x:c>
      <x:c r="C57" s="308"/>
    </x:row>
    <x:row r="59">
      <x:c r="A59" s="280" t="str">
        <x:v>This workbook is provided as a practical measurement tool.</x:v>
      </x:c>
      <x:c r="B59" s="281"/>
      <x:c r="C59" s="282"/>
    </x:row>
    <x:row r="60">
      <x:c r="A60" s="286" t="str">
        <x:v>See LICENSE.md in the official GitHub repository for reuse terms.</x:v>
      </x:c>
      <x:c r="B60" s="287"/>
      <x:c r="C60" s="288"/>
    </x:row>
  </x:sheetData>
  <x:mergeCells>
    <x:mergeCell ref="A25:C25"/>
    <x:mergeCell ref="A26:C27"/>
    <x:mergeCell ref="A29:C29"/>
    <x:mergeCell ref="A30:C31"/>
    <x:mergeCell ref="A33:C33"/>
    <x:mergeCell ref="A34:C35"/>
    <x:mergeCell ref="A37:C37"/>
    <x:mergeCell ref="A38:C39"/>
    <x:mergeCell ref="A43:C46"/>
    <x:mergeCell ref="A1:C1"/>
    <x:mergeCell ref="A2:C2"/>
    <x:mergeCell ref="A3:C3"/>
    <x:mergeCell ref="A5:C5"/>
    <x:mergeCell ref="A16:C16"/>
    <x:mergeCell ref="A24:C24"/>
    <x:mergeCell ref="A42:C42"/>
    <x:mergeCell ref="A48:C48"/>
    <x:mergeCell ref="B49:C49"/>
    <x:mergeCell ref="B50:C50"/>
    <x:mergeCell ref="A52:C52"/>
    <x:mergeCell ref="B53:C53"/>
    <x:mergeCell ref="B54:C54"/>
    <x:mergeCell ref="B55:C55"/>
    <x:mergeCell ref="B56:C56"/>
    <x:mergeCell ref="B57:C57"/>
    <x:mergeCell ref="A59:C59"/>
    <x:mergeCell ref="A60:C60"/>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23" hidden="0" customWidth="1"/>
    <x:col min="3" max="3" width="36" hidden="0" customWidth="1"/>
    <x:col min="4" max="4" width="14" hidden="0" customWidth="1"/>
    <x:col min="5" max="5" width="49" hidden="0" customWidth="1"/>
    <x:col min="6" max="6" width="3" hidden="0" customWidth="1"/>
    <x:col min="7" max="7" width="27" hidden="0" customWidth="1"/>
    <x:col min="8" max="8" width="18" hidden="0" customWidth="1"/>
    <x:col min="9" max="9" width="18" hidden="0" customWidth="1"/>
    <x:col min="10" max="10" width="3" hidden="0" customWidth="1"/>
    <x:col min="11" max="11" width="3" hidden="0" customWidth="1"/>
  </x:cols>
  <x:sheetData>
    <x:row r="1" ht="30" customHeight="1">
      <x:c r="A1" s="190" t="str">
        <x:v>Configure to WIN | Quote Turnaround Time Measurement Template — Worked example</x:v>
      </x:c>
      <x:c r="B1" s="190"/>
      <x:c r="C1" s="190"/>
      <x:c r="D1" s="190"/>
      <x:c r="E1" s="190"/>
      <x:c r="F1" s="190"/>
      <x:c r="G1" s="190"/>
      <x:c r="H1" s="190"/>
      <x:c r="I1" s="190"/>
      <x:c r="J1" s="5"/>
      <x:c r="K1" s="5"/>
    </x:row>
    <x:row r="2" ht="24" customHeight="1">
      <x:c r="A2" s="195" t="str">
        <x:v>Illustrative example — not customer data, benchmark data or a recommended policy</x:v>
      </x:c>
      <x:c r="B2" s="195"/>
      <x:c r="C2" s="195"/>
      <x:c r="D2" s="195"/>
      <x:c r="E2" s="195"/>
      <x:c r="F2" s="195"/>
      <x:c r="G2" s="195"/>
      <x:c r="H2" s="195"/>
      <x:c r="I2" s="195"/>
      <x:c r="J2" s="14"/>
      <x:c r="K2" s="14"/>
    </x:row>
    <x:row r="3" ht="30" customHeight="1">
      <x:c r="A3" s="200" t="str">
        <x:v>This example demonstrates the calculation method. It is not an industry average, target, benchmark or advice.</x:v>
      </x:c>
      <x:c r="B3" s="200"/>
      <x:c r="C3" s="200"/>
      <x:c r="D3" s="200"/>
      <x:c r="E3" s="200"/>
      <x:c r="F3" s="200"/>
      <x:c r="G3" s="200"/>
      <x:c r="H3" s="200"/>
      <x:c r="I3" s="200"/>
      <x:c r="J3" s="24"/>
      <x:c r="K3" s="24"/>
    </x:row>
    <x:row r="4">
      <x:c r="A4"/>
      <x:c r="B4"/>
      <x:c r="C4"/>
      <x:c r="D4"/>
      <x:c r="E4"/>
      <x:c r="F4"/>
      <x:c r="G4"/>
      <x:c r="H4"/>
      <x:c r="I4"/>
      <x:c r="J4" s="170"/>
      <x:c r="K4" s="170"/>
    </x:row>
    <x:row r="5" ht="24" customHeight="1">
      <x:c r="A5" s="204" t="str">
        <x:v>Illustrative stage inputs</x:v>
      </x:c>
      <x:c r="B5" s="204"/>
      <x:c r="C5" s="204"/>
      <x:c r="D5" s="204"/>
      <x:c r="E5" s="204"/>
      <x:c r="F5"/>
      <x:c r="G5" s="204" t="str">
        <x:v>Category summary</x:v>
      </x:c>
      <x:c r="H5" s="204"/>
      <x:c r="I5" s="204"/>
      <x:c r="J5" s="170"/>
      <x:c r="K5" s="170"/>
    </x:row>
    <x:row r="6" ht="34" customHeight="1">
      <x:c r="A6" s="216" t="str">
        <x:v>Stage</x:v>
      </x:c>
      <x:c r="B6" s="217" t="str">
        <x:v>Category</x:v>
      </x:c>
      <x:c r="C6" s="217" t="str">
        <x:v>Input field</x:v>
      </x:c>
      <x:c r="D6" s="217" t="str">
        <x:v>Hours</x:v>
      </x:c>
      <x:c r="E6" s="218" t="str">
        <x:v>Explanation</x:v>
      </x:c>
      <x:c r="F6"/>
      <x:c r="G6" s="216" t="str">
        <x:v>Metric</x:v>
      </x:c>
      <x:c r="H6" s="217" t="str">
        <x:v>Value</x:v>
      </x:c>
      <x:c r="I6" s="218" t="str">
        <x:v>Share of total</x:v>
      </x:c>
      <x:c r="J6" s="170"/>
      <x:c r="K6" s="170"/>
    </x:row>
    <x:row r="7" ht="38" customHeight="1">
      <x:c r="A7" s="258" t="str">
        <x:v>Preparation</x:v>
      </x:c>
      <x:c r="B7" s="242" t="str">
        <x:v>Active processing time</x:v>
      </x:c>
      <x:c r="C7" s="242" t="str">
        <x:v>Active work time</x:v>
      </x:c>
      <x:c r="D7" s="314" t="n">
        <x:v>1</x:v>
      </x:c>
      <x:c r="E7" s="243" t="str">
        <x:v>Hands-on work used to gather and complete quote inputs.</x:v>
      </x:c>
      <x:c r="F7"/>
      <x:c r="G7" s="291" t="str">
        <x:v>Active processing time</x:v>
      </x:c>
      <x:c r="H7" s="332" t="n">
        <x:f>SUMIF($B$7:$B$21,G7,$D$7:$D$21)</x:f>
        <x:v>4</x:v>
      </x:c>
      <x:c r="I7" s="335" t="n">
        <x:f>IFERROR(H7/$H$11,"")</x:f>
        <x:v>0.2318840579710145</x:v>
      </x:c>
      <x:c r="J7" s="170"/>
      <x:c r="K7" s="170"/>
    </x:row>
    <x:row r="8" ht="38" customHeight="1">
      <x:c r="A8" s="313" t="str">
        <x:v>Preparation</x:v>
      </x:c>
      <x:c r="B8" s="245" t="str">
        <x:v>Waiting time</x:v>
      </x:c>
      <x:c r="C8" s="245" t="str">
        <x:v>Waiting for complete inputs</x:v>
      </x:c>
      <x:c r="D8" s="315" t="n">
        <x:v>1.5</x:v>
      </x:c>
      <x:c r="E8" s="246" t="str">
        <x:v>Delay caused by missing information.</x:v>
      </x:c>
      <x:c r="F8"/>
      <x:c r="G8" s="318" t="str">
        <x:v>Waiting time</x:v>
      </x:c>
      <x:c r="H8" s="333" t="n">
        <x:f>SUMIF($B$7:$B$21,G8,$D$7:$D$21)</x:f>
        <x:v>11.5</x:v>
      </x:c>
      <x:c r="I8" s="336" t="n">
        <x:f>IFERROR(H8/$H$11,"")</x:f>
        <x:v>0.6666666666666666</x:v>
      </x:c>
      <x:c r="J8" s="170"/>
      <x:c r="K8" s="170"/>
    </x:row>
    <x:row r="9" ht="38" customHeight="1">
      <x:c r="A9" s="313" t="str">
        <x:v>Preparation</x:v>
      </x:c>
      <x:c r="B9" s="245" t="str">
        <x:v>Rework time</x:v>
      </x:c>
      <x:c r="C9" s="245" t="str">
        <x:v>Rework caused by missing inputs</x:v>
      </x:c>
      <x:c r="D9" s="315" t="n">
        <x:v>0.25</x:v>
      </x:c>
      <x:c r="E9" s="246" t="str">
        <x:v>Repeated preparation after inputs changed or proved incomplete.</x:v>
      </x:c>
      <x:c r="F9"/>
      <x:c r="G9" s="318" t="str">
        <x:v>Rework time</x:v>
      </x:c>
      <x:c r="H9" s="333" t="n">
        <x:f>SUMIF($B$7:$B$21,G9,$D$7:$D$21)</x:f>
        <x:v>1.25</x:v>
      </x:c>
      <x:c r="I9" s="336" t="n">
        <x:f>IFERROR(H9/$H$11,"")</x:f>
        <x:v>0.07246376811594203</x:v>
      </x:c>
      <x:c r="J9" s="170"/>
      <x:c r="K9" s="170"/>
    </x:row>
    <x:row r="10" ht="38" customHeight="1">
      <x:c r="A10" s="313" t="str">
        <x:v>Commercial calculation</x:v>
      </x:c>
      <x:c r="B10" s="245" t="str">
        <x:v>Active processing time</x:v>
      </x:c>
      <x:c r="C10" s="245" t="str">
        <x:v>Active calculation time</x:v>
      </x:c>
      <x:c r="D10" s="315" t="n">
        <x:v>1.25</x:v>
      </x:c>
      <x:c r="E10" s="246" t="str">
        <x:v>Hands-on pricing, cost and margin calculation.</x:v>
      </x:c>
      <x:c r="F10"/>
      <x:c r="G10" s="318" t="str">
        <x:v>Release lag</x:v>
      </x:c>
      <x:c r="H10" s="333" t="n">
        <x:f>SUMIF($B$7:$B$21,G10,$D$7:$D$21)</x:f>
        <x:v>0.5</x:v>
      </x:c>
      <x:c r="I10" s="336" t="n">
        <x:f>IFERROR(H10/$H$11,"")</x:f>
        <x:v>0.028985507246376812</x:v>
      </x:c>
      <x:c r="J10" s="170"/>
      <x:c r="K10" s="170"/>
    </x:row>
    <x:row r="11" ht="38" customHeight="1">
      <x:c r="A11" s="313" t="str">
        <x:v>Commercial calculation</x:v>
      </x:c>
      <x:c r="B11" s="245" t="str">
        <x:v>Waiting time</x:v>
      </x:c>
      <x:c r="C11" s="245" t="str">
        <x:v>Waiting for product, price or cost data</x:v>
      </x:c>
      <x:c r="D11" s="315" t="n">
        <x:v>2</x:v>
      </x:c>
      <x:c r="E11" s="246" t="str">
        <x:v>Delay caused by unavailable commercial data.</x:v>
      </x:c>
      <x:c r="F11"/>
      <x:c r="G11" s="338" t="str">
        <x:v>Total turnaround time</x:v>
      </x:c>
      <x:c r="H11" s="339" t="n">
        <x:f>SUM(H7:H10)</x:f>
        <x:v>17.25</x:v>
      </x:c>
      <x:c r="I11" s="340" t="n">
        <x:f>IFERROR(H11/$H$11,"")</x:f>
        <x:v>1</x:v>
      </x:c>
      <x:c r="J11" s="170"/>
      <x:c r="K11" s="170"/>
    </x:row>
    <x:row r="12" ht="38" customHeight="1">
      <x:c r="A12" s="313" t="str">
        <x:v>Commercial calculation</x:v>
      </x:c>
      <x:c r="B12" s="245" t="str">
        <x:v>Rework time</x:v>
      </x:c>
      <x:c r="C12" s="245" t="str">
        <x:v>Recalculation or correction time</x:v>
      </x:c>
      <x:c r="D12" s="315" t="n">
        <x:v>0.25</x:v>
      </x:c>
      <x:c r="E12" s="246" t="str">
        <x:v>Repeated calculation after an input or assumption changed.</x:v>
      </x:c>
      <x:c r="F12"/>
      <x:c r="G12"/>
      <x:c r="H12"/>
      <x:c r="I12"/>
      <x:c r="J12" s="170"/>
      <x:c r="K12" s="170"/>
    </x:row>
    <x:row r="13" ht="24" customHeight="1">
      <x:c r="A13" s="313" t="str">
        <x:v>Validation</x:v>
      </x:c>
      <x:c r="B13" s="245" t="str">
        <x:v>Active processing time</x:v>
      </x:c>
      <x:c r="C13" s="245" t="str">
        <x:v>Active validation time</x:v>
      </x:c>
      <x:c r="D13" s="315" t="n">
        <x:v>0.75</x:v>
      </x:c>
      <x:c r="E13" s="246" t="str">
        <x:v>Hands-on checking of completeness, rules and exceptions.</x:v>
      </x:c>
      <x:c r="F13"/>
      <x:c r="G13" s="204" t="str">
        <x:v>Largest bottleneck</x:v>
      </x:c>
      <x:c r="H13" s="204"/>
      <x:c r="I13" s="204"/>
      <x:c r="J13" s="170"/>
      <x:c r="K13" s="170"/>
    </x:row>
    <x:row r="14" ht="38" customHeight="1">
      <x:c r="A14" s="313" t="str">
        <x:v>Validation</x:v>
      </x:c>
      <x:c r="B14" s="245" t="str">
        <x:v>Waiting time</x:v>
      </x:c>
      <x:c r="C14" s="245" t="str">
        <x:v>Waiting for clarification</x:v>
      </x:c>
      <x:c r="D14" s="315" t="n">
        <x:v>1</x:v>
      </x:c>
      <x:c r="E14" s="246" t="str">
        <x:v>Delay while another stakeholder provides clarification.</x:v>
      </x:c>
      <x:c r="F14"/>
      <x:c r="G14" s="291" t="str">
        <x:v>Input field</x:v>
      </x:c>
      <x:c r="H14" s="326" t="str">
        <x:f>INDEX($C$7:$C$21,MATCH(MAX($D$7:$D$21),$D$7:$D$21,0))</x:f>
        <x:v>Waiting for an approval decision</x:v>
      </x:c>
      <x:c r="I14" s="327"/>
      <x:c r="J14" s="170"/>
      <x:c r="K14" s="170"/>
    </x:row>
    <x:row r="15" ht="38" customHeight="1">
      <x:c r="A15" s="313" t="str">
        <x:v>Validation</x:v>
      </x:c>
      <x:c r="B15" s="245" t="str">
        <x:v>Rework time</x:v>
      </x:c>
      <x:c r="C15" s="245" t="str">
        <x:v>Time spent correcting validation issues</x:v>
      </x:c>
      <x:c r="D15" s="315" t="n">
        <x:v>0.25</x:v>
      </x:c>
      <x:c r="E15" s="246" t="str">
        <x:v>Corrections after a validation issue was identified.</x:v>
      </x:c>
      <x:c r="F15"/>
      <x:c r="G15" s="318" t="str">
        <x:v>Value</x:v>
      </x:c>
      <x:c r="H15" s="333" t="n">
        <x:f>MAX($D$7:$D$21)</x:f>
        <x:v>7</x:v>
      </x:c>
      <x:c r="I15" s="341"/>
      <x:c r="J15" s="170"/>
      <x:c r="K15" s="170"/>
    </x:row>
    <x:row r="16" ht="38" customHeight="1">
      <x:c r="A16" s="313" t="str">
        <x:v>Approval</x:v>
      </x:c>
      <x:c r="B16" s="245" t="str">
        <x:v>Active processing time</x:v>
      </x:c>
      <x:c r="C16" s="245" t="str">
        <x:v>Approval preparation time</x:v>
      </x:c>
      <x:c r="D16" s="315" t="n">
        <x:v>0.5</x:v>
      </x:c>
      <x:c r="E16" s="246" t="str">
        <x:v>Hands-on preparation of approval context.</x:v>
      </x:c>
      <x:c r="F16"/>
      <x:c r="G16" s="292" t="str">
        <x:v>Share of total</x:v>
      </x:c>
      <x:c r="H16" s="342" t="n">
        <x:f>IFERROR(H15/$H$11,"")</x:f>
        <x:v>0.4057971014492754</x:v>
      </x:c>
      <x:c r="I16" s="337"/>
      <x:c r="J16" s="170"/>
      <x:c r="K16" s="170"/>
    </x:row>
    <x:row r="17" ht="38" customHeight="1">
      <x:c r="A17" s="313" t="str">
        <x:v>Approval</x:v>
      </x:c>
      <x:c r="B17" s="245" t="str">
        <x:v>Waiting time</x:v>
      </x:c>
      <x:c r="C17" s="245" t="str">
        <x:v>Waiting for an approval decision</x:v>
      </x:c>
      <x:c r="D17" s="315" t="n">
        <x:v>7</x:v>
      </x:c>
      <x:c r="E17" s="246" t="str">
        <x:v>Elapsed delay while the decision is pending.</x:v>
      </x:c>
      <x:c r="F17"/>
      <x:c r="G17"/>
      <x:c r="H17"/>
      <x:c r="I17"/>
      <x:c r="J17" s="170"/>
      <x:c r="K17" s="170"/>
    </x:row>
    <x:row r="18" ht="24" customHeight="1">
      <x:c r="A18" s="313" t="str">
        <x:v>Approval</x:v>
      </x:c>
      <x:c r="B18" s="245" t="str">
        <x:v>Rework time</x:v>
      </x:c>
      <x:c r="C18" s="245" t="str">
        <x:v>Rework after approver feedback</x:v>
      </x:c>
      <x:c r="D18" s="315" t="n">
        <x:v>0.5</x:v>
      </x:c>
      <x:c r="E18" s="246" t="str">
        <x:v>Changes requested during approval review.</x:v>
      </x:c>
      <x:c r="F18"/>
      <x:c r="G18" s="204" t="str">
        <x:v>Stage summary</x:v>
      </x:c>
      <x:c r="H18" s="204"/>
      <x:c r="I18" s="204"/>
      <x:c r="J18" s="170"/>
      <x:c r="K18" s="170"/>
    </x:row>
    <x:row r="19" ht="38" customHeight="1">
      <x:c r="A19" s="313" t="str">
        <x:v>Customer-ready release</x:v>
      </x:c>
      <x:c r="B19" s="245" t="str">
        <x:v>Active processing time</x:v>
      </x:c>
      <x:c r="C19" s="245" t="str">
        <x:v>Final document or output preparation</x:v>
      </x:c>
      <x:c r="D19" s="315" t="n">
        <x:v>0.25</x:v>
      </x:c>
      <x:c r="E19" s="246" t="str">
        <x:v>Hands-on creation of the customer-ready output.</x:v>
      </x:c>
      <x:c r="F19"/>
      <x:c r="G19" s="216" t="str">
        <x:v>Stage</x:v>
      </x:c>
      <x:c r="H19" s="217" t="str">
        <x:v>Total</x:v>
      </x:c>
      <x:c r="I19" s="218"/>
      <x:c r="J19" s="170"/>
      <x:c r="K19" s="170"/>
    </x:row>
    <x:row r="20" ht="38" customHeight="1">
      <x:c r="A20" s="313" t="str">
        <x:v>Customer-ready release</x:v>
      </x:c>
      <x:c r="B20" s="245" t="str">
        <x:v>Active processing time</x:v>
      </x:c>
      <x:c r="C20" s="245" t="str">
        <x:v>Final checks</x:v>
      </x:c>
      <x:c r="D20" s="315" t="n">
        <x:v>0.25</x:v>
      </x:c>
      <x:c r="E20" s="246" t="str">
        <x:v>Final verification before release.</x:v>
      </x:c>
      <x:c r="F20"/>
      <x:c r="G20" s="291" t="str">
        <x:v>Preparation</x:v>
      </x:c>
      <x:c r="H20" s="332" t="n">
        <x:f>SUMIF($A$7:$A$21,G20,$D$7:$D$21)</x:f>
        <x:v>2.75</x:v>
      </x:c>
      <x:c r="I20" s="343"/>
      <x:c r="J20" s="170"/>
      <x:c r="K20" s="170"/>
    </x:row>
    <x:row r="21" ht="38" customHeight="1">
      <x:c r="A21" s="259" t="str">
        <x:v>Customer-ready release</x:v>
      </x:c>
      <x:c r="B21" s="248" t="str">
        <x:v>Release lag</x:v>
      </x:c>
      <x:c r="C21" s="248" t="str">
        <x:v>Delay between approval and customer release</x:v>
      </x:c>
      <x:c r="D21" s="316" t="n">
        <x:v>0.5</x:v>
      </x:c>
      <x:c r="E21" s="249" t="str">
        <x:v>Post-approval delay before the quote reaches the customer.</x:v>
      </x:c>
      <x:c r="F21"/>
      <x:c r="G21" s="318" t="str">
        <x:v>Commercial calculation</x:v>
      </x:c>
      <x:c r="H21" s="333" t="n">
        <x:f>SUMIF($A$7:$A$21,G21,$D$7:$D$21)</x:f>
        <x:v>3.5</x:v>
      </x:c>
      <x:c r="I21" s="341"/>
      <x:c r="J21" s="170"/>
      <x:c r="K21" s="170"/>
    </x:row>
    <x:row r="22">
      <x:c r="A22"/>
      <x:c r="B22"/>
      <x:c r="C22"/>
      <x:c r="D22"/>
      <x:c r="E22"/>
      <x:c r="F22"/>
      <x:c r="G22" s="318" t="str">
        <x:v>Validation</x:v>
      </x:c>
      <x:c r="H22" s="333" t="n">
        <x:f>SUMIF($A$7:$A$21,G22,$D$7:$D$21)</x:f>
        <x:v>2</x:v>
      </x:c>
      <x:c r="I22" s="341"/>
      <x:c r="J22" s="170"/>
      <x:c r="K22" s="170"/>
    </x:row>
    <x:row r="23">
      <x:c r="A23"/>
      <x:c r="B23"/>
      <x:c r="C23"/>
      <x:c r="D23"/>
      <x:c r="E23"/>
      <x:c r="F23"/>
      <x:c r="G23" s="318" t="str">
        <x:v>Approval</x:v>
      </x:c>
      <x:c r="H23" s="333" t="n">
        <x:f>SUMIF($A$7:$A$21,G23,$D$7:$D$21)</x:f>
        <x:v>8</x:v>
      </x:c>
      <x:c r="I23" s="341"/>
      <x:c r="J23" s="170"/>
      <x:c r="K23" s="170"/>
    </x:row>
    <x:row r="24">
      <x:c r="A24" s="280" t="str">
        <x:v>Illustrative only: this worked example uses fictional inputs to explain the measurement model. It does not represent a customer, industry benchmark, target turnaround time or recommended policy.</x:v>
      </x:c>
      <x:c r="B24" s="281"/>
      <x:c r="C24" s="281"/>
      <x:c r="D24" s="281"/>
      <x:c r="E24" s="282"/>
      <x:c r="F24"/>
      <x:c r="G24" s="318" t="str">
        <x:v>Customer-ready release</x:v>
      </x:c>
      <x:c r="H24" s="333" t="n">
        <x:f>SUMIF($A$7:$A$21,G24,$D$7:$D$21)</x:f>
        <x:v>1</x:v>
      </x:c>
      <x:c r="I24" s="341"/>
      <x:c r="J24" s="170"/>
      <x:c r="K24" s="170"/>
    </x:row>
    <x:row r="25">
      <x:c r="A25" s="283"/>
      <x:c r="B25" s="284"/>
      <x:c r="C25" s="284"/>
      <x:c r="D25" s="284"/>
      <x:c r="E25" s="285"/>
      <x:c r="F25"/>
      <x:c r="G25" s="338" t="str">
        <x:v>Total turnaround time</x:v>
      </x:c>
      <x:c r="H25" s="339" t="n">
        <x:f>SUM(H20:H24)</x:f>
        <x:v>17.25</x:v>
      </x:c>
      <x:c r="I25" s="345"/>
      <x:c r="J25" s="170"/>
      <x:c r="K25" s="170"/>
    </x:row>
    <x:row r="26">
      <x:c r="A26" s="286"/>
      <x:c r="B26" s="287"/>
      <x:c r="C26" s="287"/>
      <x:c r="D26" s="287"/>
      <x:c r="E26" s="288"/>
    </x:row>
  </x:sheetData>
  <x:mergeCells>
    <x:mergeCell ref="H14:I14"/>
    <x:mergeCell ref="H15:I15"/>
    <x:mergeCell ref="H16:I16"/>
    <x:mergeCell ref="A1:I1"/>
    <x:mergeCell ref="A2:I2"/>
    <x:mergeCell ref="A3:I3"/>
    <x:mergeCell ref="A5:E5"/>
    <x:mergeCell ref="G5:I5"/>
    <x:mergeCell ref="G13:I13"/>
    <x:mergeCell ref="G18:I18"/>
    <x:mergeCell ref="H20:I20"/>
    <x:mergeCell ref="H21:I21"/>
    <x:mergeCell ref="H22:I22"/>
    <x:mergeCell ref="H23:I23"/>
    <x:mergeCell ref="H24:I24"/>
    <x:mergeCell ref="H25:I25"/>
    <x:mergeCell ref="A24:E26"/>
  </x:mergeCells>
  <x:pageMargins left="0.7" right="0.7" top="0.75" bottom="0.75" header="0.3" footer="0.3"/>
</x:worksheet>
</file>